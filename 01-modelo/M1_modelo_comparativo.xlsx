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Operacao" sheetId="3" state="visible" r:id="rId3"/>
    <sheet name="Inputs" sheetId="4" state="visible" r:id="rId4"/>
    <sheet name="V1_ENI_Simplificado" sheetId="5" state="visible" r:id="rId5"/>
    <sheet name="V2_ENI_ContOrg" sheetId="6" state="visible" r:id="rId6"/>
    <sheet name="V3_Soc_Transparente" sheetId="7" state="visible" r:id="rId7"/>
    <sheet name="V4_Soc_NaoTransparente" sheetId="8" state="visible" r:id="rId8"/>
    <sheet name="IVA" sheetId="9" state="visible" r:id="rId9"/>
    <sheet name="Comparativo" sheetId="10" state="visible" r:id="rId10"/>
    <sheet name="PontoViragem" sheetId="11" state="visible" r:id="rId11"/>
    <sheet name="BreakEven" sheetId="12" state="visible" r:id="rId12"/>
    <sheet name="Espaco" sheetId="13" state="visible" r:id="rId13"/>
    <sheet name="Validacao" sheetId="14" state="visible" r:id="rId14"/>
    <sheet name="RiscoLaboral" sheetId="15" state="visible" r:id="rId15"/>
    <sheet name="Alertas" sheetId="16" state="visible" r:id="rId16"/>
    <sheet name="Conjuge" sheetId="17" state="visible" r:id="rId17"/>
    <sheet name="Tesouraria" sheetId="18" state="visible" r:id="rId18"/>
  </sheets>
  <definedNames/>
  <calcPr calcId="124519" fullCalcOnLoad="1"/>
</workbook>
</file>

<file path=xl/styles.xml><?xml version="1.0" encoding="utf-8"?>
<styleSheet xmlns="http://schemas.openxmlformats.org/spreadsheetml/2006/main">
  <numFmts count="6">
    <numFmt numFmtId="164" formatCode="#,##0.00 &quot;€&quot;;(#,##0.00 &quot;€&quot;);&quot;-&quot;"/>
    <numFmt numFmtId="165" formatCode="#,##0;(#,##0);&quot;-&quot;"/>
    <numFmt numFmtId="166" formatCode="0.0%;(0.0%);&quot;-&quot;"/>
    <numFmt numFmtId="167" formatCode="0.00%;(0.00%);&quot;-&quot;"/>
    <numFmt numFmtId="168" formatCode="#,##0 &quot;€&quot;;(#,##0 &quot;€&quot;);&quot;-&quot;"/>
    <numFmt numFmtId="169" formatCode="#,##0.0"/>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4">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pivotButton="0" quotePrefix="0" xfId="0"/>
    <xf numFmtId="0" fontId="6" fillId="5" borderId="0" pivotButton="0" quotePrefix="0" xfId="0"/>
    <xf numFmtId="165" fontId="6" fillId="0" borderId="0" pivotButton="0" quotePrefix="0" xfId="0"/>
    <xf numFmtId="166" fontId="7" fillId="4" borderId="1" pivotButton="0" quotePrefix="0" xfId="0"/>
    <xf numFmtId="167" fontId="7" fillId="4" borderId="1" pivotButton="0" quotePrefix="0" xfId="0"/>
    <xf numFmtId="165" fontId="7" fillId="4" borderId="1" pivotButton="0" quotePrefix="0" xfId="0"/>
    <xf numFmtId="168" fontId="7" fillId="4" borderId="1" pivotButton="0" quotePrefix="0" xfId="0"/>
    <xf numFmtId="0" fontId="6" fillId="0" borderId="0" applyAlignment="1" pivotButton="0" quotePrefix="0" xfId="0">
      <alignment vertical="top" wrapText="1"/>
    </xf>
    <xf numFmtId="167" fontId="5" fillId="0" borderId="1" pivotButton="0" quotePrefix="0" xfId="0"/>
    <xf numFmtId="0" fontId="7" fillId="4" borderId="1" pivotButton="0" quotePrefix="0" xfId="0"/>
    <xf numFmtId="0" fontId="2" fillId="0" borderId="0" applyAlignment="1" pivotButton="0" quotePrefix="0" xfId="0">
      <alignment vertical="top" wrapText="1"/>
    </xf>
    <xf numFmtId="169" fontId="5" fillId="0" borderId="1" pivotButton="0" quotePrefix="0" xfId="0"/>
    <xf numFmtId="0" fontId="8" fillId="0" borderId="0" pivotButton="0" quotePrefix="0" xfId="0"/>
    <xf numFmtId="165" fontId="8" fillId="6" borderId="1" pivotButton="0" quotePrefix="0" xfId="0"/>
    <xf numFmtId="165" fontId="5" fillId="0" borderId="1" pivotButton="0" quotePrefix="0" xfId="0"/>
    <xf numFmtId="166" fontId="8" fillId="6" borderId="1" pivotButton="0" quotePrefix="0" xfId="0"/>
    <xf numFmtId="0" fontId="8" fillId="6" borderId="1" pivotButton="0" quotePrefix="0" xfId="0"/>
    <xf numFmtId="168" fontId="8" fillId="6" borderId="1" pivotButton="0" quotePrefix="0" xfId="0"/>
    <xf numFmtId="168" fontId="5" fillId="0" borderId="1" pivotButton="0" quotePrefix="0" xfId="0"/>
    <xf numFmtId="164" fontId="5" fillId="0" borderId="1" pivotButton="0" quotePrefix="0" xfId="0"/>
    <xf numFmtId="0" fontId="6" fillId="0" borderId="1" applyAlignment="1" pivotButton="0" quotePrefix="0" xfId="0">
      <alignment horizontal="center"/>
    </xf>
    <xf numFmtId="0" fontId="6" fillId="5" borderId="0" applyAlignment="1" pivotButton="0" quotePrefix="0" xfId="0">
      <alignment vertical="top" wrapText="1"/>
    </xf>
    <xf numFmtId="0" fontId="6" fillId="5" borderId="1" applyAlignment="1" pivotButton="0" quotePrefix="0" xfId="0">
      <alignment horizontal="center"/>
    </xf>
    <xf numFmtId="0" fontId="4" fillId="0" borderId="0" pivotButton="0" quotePrefix="0" xfId="0"/>
    <xf numFmtId="168" fontId="6" fillId="0" borderId="0" pivotButton="0" quotePrefix="0" xfId="0"/>
    <xf numFmtId="168" fontId="9" fillId="0" borderId="1" pivotButton="0" quotePrefix="0" xfId="0"/>
    <xf numFmtId="166" fontId="9" fillId="0" borderId="1" pivotButton="0" quotePrefix="0" xfId="0"/>
    <xf numFmtId="166" fontId="5" fillId="0" borderId="1" pivotButton="0" quotePrefix="0" xfId="0"/>
    <xf numFmtId="165"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6" fontId="7" fillId="0" borderId="1" pivotButton="0" quotePrefix="0" xfId="0"/>
    <xf numFmtId="168" fontId="8" fillId="0" borderId="1" pivotButton="0" quotePrefix="0" xfId="0"/>
    <xf numFmtId="164" fontId="9" fillId="0" borderId="1" pivotButton="0" quotePrefix="0" xfId="0"/>
    <xf numFmtId="168" fontId="7" fillId="0" borderId="1" pivotButton="0" quotePrefix="0" xfId="0"/>
    <xf numFmtId="169" fontId="8" fillId="6" borderId="1" pivotButton="0" quotePrefix="0" xfId="0"/>
    <xf numFmtId="164" fontId="7" fillId="0" borderId="1" pivotButton="0" quotePrefix="0" xfId="0"/>
    <xf numFmtId="0" fontId="8" fillId="0" borderId="1" applyAlignment="1" pivotButton="0" quotePrefix="0" xfId="0">
      <alignment horizontal="center"/>
    </xf>
    <xf numFmtId="0" fontId="0" fillId="4" borderId="1" pivotButton="0" quotePrefix="0" xfId="0"/>
    <xf numFmtId="165" fontId="9" fillId="0" borderId="1" pivotButton="0" quotePrefix="0" xfId="0"/>
    <xf numFmtId="0" fontId="8" fillId="5" borderId="1" pivotButton="0" quotePrefix="0" xfId="0"/>
    <xf numFmtId="165" fontId="8" fillId="0" borderId="1" pivotButton="0" quotePrefix="0" xfId="0"/>
    <xf numFmtId="168" fontId="8"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'PontoViragem'!F7</f>
            </strRef>
          </tx>
          <spPr>
            <a:ln>
              <a:prstDash val="solid"/>
            </a:ln>
          </spPr>
          <marker>
            <symbol val="none"/>
            <spPr>
              <a:ln>
                <a:prstDash val="solid"/>
              </a:ln>
            </spPr>
          </marker>
          <cat>
            <numRef>
              <f>'PontoViragem'!$A$8:$A$22</f>
            </numRef>
          </cat>
          <val>
            <numRef>
              <f>'PontoViragem'!$F$8:$F$22</f>
            </numRef>
          </val>
        </ser>
        <ser>
          <idx val="1"/>
          <order val="1"/>
          <tx>
            <strRef>
              <f>'PontoViragem'!J7</f>
            </strRef>
          </tx>
          <spPr>
            <a:ln>
              <a:prstDash val="solid"/>
            </a:ln>
          </spPr>
          <marker>
            <symbol val="none"/>
            <spPr>
              <a:ln>
                <a:prstDash val="solid"/>
              </a:ln>
            </spPr>
          </marker>
          <cat>
            <numRef>
              <f>'PontoViragem'!$A$8:$A$22</f>
            </numRef>
          </cat>
          <val>
            <numRef>
              <f>'PontoViragem'!$J$8:$J$22</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Break-even anual por peso dos colaboradores na receita</a:t>
            </a:r>
          </a:p>
        </rich>
      </tx>
    </title>
    <plotArea>
      <lineChart>
        <grouping val="standard"/>
        <ser>
          <idx val="0"/>
          <order val="0"/>
          <tx>
            <strRef>
              <f>'BreakEven'!C45</f>
            </strRef>
          </tx>
          <spPr>
            <a:ln>
              <a:prstDash val="solid"/>
            </a:ln>
          </spPr>
          <marker>
            <symbol val="none"/>
            <spPr>
              <a:ln>
                <a:prstDash val="solid"/>
              </a:ln>
            </spPr>
          </marker>
          <cat>
            <numRef>
              <f>'BreakEven'!$A$46:$A$54</f>
            </numRef>
          </cat>
          <val>
            <numRef>
              <f>'BreakEven'!$C$46:$C$54</f>
            </numRef>
          </val>
        </ser>
        <axId val="10"/>
        <axId val="100"/>
      </lineChart>
      <catAx>
        <axId val="10"/>
        <scaling>
          <orientation val="minMax"/>
        </scaling>
        <axPos val="l"/>
        <title>
          <tx>
            <rich>
              <a:bodyPr/>
              <a:p>
                <a:pPr>
                  <a:defRPr/>
                </a:pPr>
                <a:r>
                  <a:t>peso dos colaboradores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Resultado líquido por nível de procura — 2 vs. 3 gabinetes</a:t>
            </a:r>
          </a:p>
        </rich>
      </tx>
    </title>
    <plotArea>
      <lineChart>
        <grouping val="standard"/>
        <ser>
          <idx val="0"/>
          <order val="0"/>
          <tx>
            <strRef>
              <f>'Espaco'!B40</f>
            </strRef>
          </tx>
          <spPr>
            <a:ln>
              <a:prstDash val="solid"/>
            </a:ln>
          </spPr>
          <marker>
            <symbol val="none"/>
            <spPr>
              <a:ln>
                <a:prstDash val="solid"/>
              </a:ln>
            </spPr>
          </marker>
          <cat>
            <numRef>
              <f>'Espaco'!$A$41:$A$56</f>
            </numRef>
          </cat>
          <val>
            <numRef>
              <f>'Espaco'!$B$41:$B$56</f>
            </numRef>
          </val>
        </ser>
        <ser>
          <idx val="1"/>
          <order val="1"/>
          <tx>
            <strRef>
              <f>'Espaco'!C40</f>
            </strRef>
          </tx>
          <spPr>
            <a:ln>
              <a:prstDash val="solid"/>
            </a:ln>
          </spPr>
          <marker>
            <symbol val="none"/>
            <spPr>
              <a:ln>
                <a:prstDash val="solid"/>
              </a:ln>
            </spPr>
          </marker>
          <cat>
            <numRef>
              <f>'Espaco'!$A$41:$A$56</f>
            </numRef>
          </cat>
          <val>
            <numRef>
              <f>'Espaco'!$C$41:$C$56</f>
            </numRef>
          </val>
        </ser>
        <axId val="10"/>
        <axId val="100"/>
      </lineChart>
      <catAx>
        <axId val="10"/>
        <scaling>
          <orientation val="minMax"/>
        </scaling>
        <axPos val="l"/>
        <title>
          <tx>
            <rich>
              <a:bodyPr/>
              <a:p>
                <a:pPr>
                  <a:defRPr/>
                </a:pPr>
                <a:r>
                  <a:t>procura anual (consultas)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Saldo de tesouraria acumulado — ano 1</a:t>
            </a:r>
          </a:p>
        </rich>
      </tx>
    </title>
    <plotArea>
      <lineChart>
        <grouping val="standard"/>
        <ser>
          <idx val="0"/>
          <order val="0"/>
          <tx>
            <v>Saldo acumulado</v>
          </tx>
          <spPr>
            <a:ln>
              <a:prstDash val="solid"/>
            </a:ln>
          </spPr>
          <marker>
            <symbol val="none"/>
            <spPr>
              <a:ln>
                <a:prstDash val="solid"/>
              </a:ln>
            </spPr>
          </marker>
          <val>
            <numRef>
              <f>'Tesouraria'!$C$24:$N$24</f>
            </numRef>
          </val>
        </ser>
        <axId val="10"/>
        <axId val="100"/>
      </lineChart>
      <catAx>
        <axId val="10"/>
        <scaling>
          <orientation val="minMax"/>
        </scaling>
        <axPos val="l"/>
        <title>
          <tx>
            <rich>
              <a:bodyPr/>
              <a:p>
                <a:pPr>
                  <a:defRPr/>
                </a:pPr>
                <a:r>
                  <a:t>mês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28" customHeight="1">
      <c r="B14" s="3" t="inlineStr">
        <is>
          <t>Operacao — camada operacional: gabinetes, dias, duração da consulta, preço e utilização. É daqui que sai a faturação quando FONTE_FAT = 2. A linha de utilização diz se a projeção cabe fisicamente no espaço.</t>
        </is>
      </c>
    </row>
    <row r="15" ht="41" customHeight="1">
      <c r="B15"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6" ht="41" customHeight="1">
      <c r="B16"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7" ht="28" customHeight="1">
      <c r="B17" s="3" t="inlineStr">
        <is>
          <t>V1 a V4 — uma folha por via, com a mesma estrutura: apuramento, Segurança Social, IRS do agregado, resultado.</t>
        </is>
      </c>
    </row>
    <row r="18" ht="15" customHeight="1">
      <c r="B18" s="3" t="inlineStr">
        <is>
          <t>IVA — quantificação do IVA perdido no investimento e teste das duas atenuantes.</t>
        </is>
      </c>
    </row>
    <row r="19" ht="28" customHeight="1">
      <c r="B19" s="3" t="inlineStr">
        <is>
          <t>PontoViragem — nível de custos reais a partir do qual o simplificado deixa de compensar, com o gráfico correspondente.</t>
        </is>
      </c>
    </row>
    <row r="20" ht="15" customHeight="1">
      <c r="B20" s="3" t="inlineStr">
        <is>
          <t>Comparativo — output que alimenta o capítulo 3 e o anexo E2, com o gráfico do líquido por via.</t>
        </is>
      </c>
    </row>
    <row r="21" ht="28" customHeight="1">
      <c r="B21" s="3" t="inlineStr">
        <is>
          <t>BreakEven — break-even operacional e rendimento-alvo da fundadora. Não confundir com o PontoViragem, que é o break-even fiscal: são três conceitos distintos e a folha explica-os.</t>
        </is>
      </c>
    </row>
    <row r="22" ht="15" customHeight="1">
      <c r="B22" s="3" t="inlineStr">
        <is>
          <t>Espaco — comparação 2 versus 3 gabinetes a procura constante, com investimento e payback.</t>
        </is>
      </c>
    </row>
    <row r="23" ht="15" customHeight="1">
      <c r="B23" s="3" t="inlineStr">
        <is>
          <t>Validação — recálculo independente e espaço para assinatura.</t>
        </is>
      </c>
    </row>
    <row r="24" ht="28" customHeight="1">
      <c r="B24" s="3" t="inlineStr">
        <is>
          <t>RiscoLaboral — passivo contingente da requalificação dos colaboradores, e o mapa dos indícios do art. 12.º n.º 1 do Código do Trabalho. Dois deles verificam-se por natureza numa clínica.</t>
        </is>
      </c>
    </row>
    <row r="25" ht="28" customHeight="1">
      <c r="B25" s="3" t="inlineStr">
        <is>
          <t>Conjuge — custo de complexidade da entrada do cônjuge: ganhos de um lado, custos do outro, e o que não é quantificável.</t>
        </is>
      </c>
    </row>
    <row r="26" ht="28" customHeight="1">
      <c r="B26" s="3" t="inlineStr">
        <is>
          <t>Tesouraria — ano 1 mês a mês, fundo de maneio e vista a três anos. Responde à pergunta que vem antes de todas as outras: quanto dinheiro é preciso ter na mão antes de abrir.</t>
        </is>
      </c>
    </row>
    <row r="27" ht="28" customHeight="1">
      <c r="B27" s="3" t="inlineStr">
        <is>
          <t>Alertas — verificação de plausibilidade empresarial e semáforo global. Enquanto houver um alerta bloqueante ativo, nenhum número sai do ficheiro.</t>
        </is>
      </c>
    </row>
    <row r="28">
      <c r="B28" s="2" t="inlineStr">
        <is>
          <t>Rentabilidade e solvência são perguntas diferentes</t>
        </is>
      </c>
    </row>
    <row r="29" ht="41" customHeight="1">
      <c r="B29" s="3" t="inlineStr">
        <is>
          <t>As folhas das quatro vias, o Comparativo e o BreakEven dizem se o negócio é rentável. A folha Tesouraria diz se sobrevive ao primeiro ano. Um negócio rentável fica sem dinheiro quando o investimento se paga à cabeça, a receita sobe devagar e há pagamentos que chegam em bloco.</t>
        </is>
      </c>
    </row>
    <row r="30" ht="41" customHeight="1">
      <c r="B30" s="3" t="inlineStr">
        <is>
          <t>Para quem abre pela primeira vez, a segunda pergunta é a que morde primeiro. O número a dar à cliente antes de qualquer conversa sobre ENI ou sociedade é o total de dinheiro necessário antes de abrir, na folha Tesouraria.</t>
        </is>
      </c>
    </row>
    <row r="31">
      <c r="B31" s="2" t="inlineStr">
        <is>
          <t>Três break-even distintos, que nunca se misturam</t>
        </is>
      </c>
    </row>
    <row r="32" ht="28" customHeight="1">
      <c r="B32" s="3" t="inlineStr">
        <is>
          <t>Break-even FISCAL (folha PontoViragem): a partir de que nível de custos reais uma estrutura fiscal passa a ser melhor do que outra.</t>
        </is>
      </c>
    </row>
    <row r="33" ht="15" customHeight="1">
      <c r="B33" s="3" t="inlineStr">
        <is>
          <t>Break-even OPERACIONAL (folha BreakEven): a partir de que faturação a clínica cobre os custos.</t>
        </is>
      </c>
    </row>
    <row r="34" ht="28" customHeight="1">
      <c r="B34" s="3" t="inlineStr">
        <is>
          <t>RENDIMENTO-ALVO (folha BreakEven): que faturação é precisa para a fundadora receber o que quer receber. Nunca usar a mesma palavra para os três numa frase dita à cliente.</t>
        </is>
      </c>
    </row>
    <row r="35">
      <c r="B35" s="2" t="inlineStr">
        <is>
          <t>Convenções</t>
        </is>
      </c>
    </row>
    <row r="36" ht="28" customHeight="1">
      <c r="B36" s="3" t="inlineStr">
        <is>
          <t>Azul sobre amarelo = célula de preenchimento. Verde = ligação a outra folha. Preto = fórmula. Fundo laranja na folha Parâmetros = parâmetro por confirmar.</t>
        </is>
      </c>
    </row>
    <row r="37" ht="15" customHeight="1">
      <c r="B37" s="3" t="inlineStr">
        <is>
          <t>Percentagens guardadas como fração. Valores anuais, em euros, sem IVA salvo indicação.</t>
        </is>
      </c>
    </row>
    <row r="38">
      <c r="B38" s="2" t="inlineStr">
        <is>
          <t>Três decisões de modelação que são discutíveis e estão assumidas</t>
        </is>
      </c>
    </row>
    <row r="39" ht="41" customHeight="1">
      <c r="B39" s="3" t="inlineStr">
        <is>
          <t>1. A comparação entre vias usa o IRS diferencial (coleta do agregado com a atividade menos coleta sem a atividade), e não o IRS total. É o que torna as quatro vias comparáveis quando o cônjuge tem rendimento próprio.</t>
        </is>
      </c>
    </row>
    <row r="40" ht="28" customHeight="1">
      <c r="B40" s="3" t="inlineStr">
        <is>
          <t>2. O investimento inicial está fora da comparação anual e isolado numa linha de memória. Misturá-lo com o resultado corrente faria a via 1 parecer melhor do que é no ano 1.</t>
        </is>
      </c>
    </row>
    <row r="41" ht="28" customHeight="1">
      <c r="B41" s="3" t="inlineStr">
        <is>
          <t>3. Nas vias societárias, o valor retido na sociedade é mostrado separado do líquido da sócia. Somar os dois responderia a uma pergunta que a cliente não fez.</t>
        </is>
      </c>
    </row>
    <row r="42" ht="28" customHeight="1">
      <c r="B42" s="3" t="inlineStr">
        <is>
          <t>4. O modelo de colaboração é uma escolha única para todos os colaboradores. A ata admite modelos distintos por profissional; uma combinação exige correr o modelo com a faturação repartida. Registado em R1-30.</t>
        </is>
      </c>
    </row>
    <row r="43">
      <c r="B43" s="2" t="inlineStr">
        <is>
          <t>Para quem é este trabalho</t>
        </is>
      </c>
    </row>
    <row r="44" ht="41" customHeight="1">
      <c r="B44" s="3" t="inlineStr">
        <is>
          <t>A cliente final tem zero experiência empresarial e está a montar a primeira estrutura da vida dela, com arrendamento, obras e integração de pessoas. As consequências de a matemática não funcionar não são um relatório desatualizado — são dívida pessoal.</t>
        </is>
      </c>
    </row>
    <row r="45" ht="41" customHeight="1">
      <c r="B45" s="3" t="inlineStr">
        <is>
          <t>Consequência prática para quem usar este modelo: toda a conclusão tem de acabar em unidades que a cliente controla — doentes por dia, euros por mês — e o cenário de baixa tem de ser apresentado em dinheiro, não só a recomendação.</t>
        </is>
      </c>
    </row>
    <row r="46">
      <c r="B46" s="2" t="inlineStr">
        <is>
          <t>Reprodução</t>
        </is>
      </c>
    </row>
    <row r="47" ht="28" customHeight="1">
      <c r="B47" s="3" t="inlineStr">
        <is>
          <t>Este ficheiro é gerado por build_m1.py. Alterações estruturais fazem-se no script e regenera-se; alterações de valores fazem-se nas células amarelas.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 width="10" customWidth="1" min="6" max="6"/>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4" ht="28" customHeight="1">
      <c r="A4" s="6" t="inlineStr">
        <is>
          <t>Parâmetro</t>
        </is>
      </c>
      <c r="B4" s="6" t="inlineStr">
        <is>
          <t>Referência</t>
        </is>
      </c>
      <c r="C4" s="6" t="inlineStr">
        <is>
          <t>Valor</t>
        </is>
      </c>
      <c r="D4" s="6" t="inlineStr">
        <is>
          <t>Fonte normativa</t>
        </is>
      </c>
      <c r="E4" s="6" t="inlineStr">
        <is>
          <t>Estado de validação</t>
        </is>
      </c>
      <c r="F4" s="6" t="inlineStr">
        <is>
          <t>Por validar</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c r="F6" s="12" t="n">
        <v>1</v>
      </c>
    </row>
    <row r="7">
      <c r="A7" s="8" t="inlineStr">
        <is>
          <t>TI — % da prestação de serviços que forma o rendimento relevante</t>
        </is>
      </c>
      <c r="B7" s="9" t="inlineStr">
        <is>
          <t>SS_TI_PCT</t>
        </is>
      </c>
      <c r="C7" s="13" t="n">
        <v>0.7</v>
      </c>
      <c r="D7" s="9" t="inlineStr">
        <is>
          <t>Art. 162.º n.º 1 Cód. Contributivo</t>
        </is>
      </c>
      <c r="E7" s="9" t="inlineStr">
        <is>
          <t>Confirmar</t>
        </is>
      </c>
      <c r="F7" s="12" t="n">
        <v>0</v>
      </c>
    </row>
    <row r="8">
      <c r="A8" s="8" t="inlineStr">
        <is>
          <t>TI — taxa contributiva</t>
        </is>
      </c>
      <c r="B8" s="9" t="inlineStr">
        <is>
          <t>SS_TI_TAXA</t>
        </is>
      </c>
      <c r="C8" s="14" t="n">
        <v>0.214</v>
      </c>
      <c r="D8" s="9" t="inlineStr">
        <is>
          <t>Art. 168.º n.º 1 Cód. Contributivo</t>
        </is>
      </c>
      <c r="E8" s="9" t="inlineStr">
        <is>
          <t>Confirmar</t>
        </is>
      </c>
      <c r="F8" s="12" t="n">
        <v>0</v>
      </c>
    </row>
    <row r="9">
      <c r="A9" s="8" t="inlineStr">
        <is>
          <t>TI — teto da base de incidência mensal (múltiplo do IAS)</t>
        </is>
      </c>
      <c r="B9" s="9" t="inlineStr">
        <is>
          <t>SS_TI_TETO</t>
        </is>
      </c>
      <c r="C9" s="15" t="n">
        <v>12</v>
      </c>
      <c r="D9" s="9" t="inlineStr">
        <is>
          <t>Art. 163.º n.º 2 Cód. Contributivo</t>
        </is>
      </c>
      <c r="E9" s="9" t="inlineStr">
        <is>
          <t>Confirmar</t>
        </is>
      </c>
      <c r="F9" s="12" t="n">
        <v>0</v>
      </c>
    </row>
    <row r="10">
      <c r="A10" s="8" t="inlineStr">
        <is>
          <t>TI — contribuição mensal mínima</t>
        </is>
      </c>
      <c r="B10" s="9" t="inlineStr">
        <is>
          <t>SS_TI_MIN</t>
        </is>
      </c>
      <c r="C10" s="10" t="n">
        <v>20</v>
      </c>
      <c r="D10" s="9" t="inlineStr">
        <is>
          <t>Regime dos trabalhadores independentes</t>
        </is>
      </c>
      <c r="E10" s="9" t="inlineStr">
        <is>
          <t>Confirmar</t>
        </is>
      </c>
      <c r="F10" s="12" t="n">
        <v>0</v>
      </c>
    </row>
    <row r="11">
      <c r="A11" s="8" t="inlineStr">
        <is>
          <t>MOE/gerência — taxa a cargo da entidade</t>
        </is>
      </c>
      <c r="B11" s="9" t="inlineStr">
        <is>
          <t>SS_MOE_ENT</t>
        </is>
      </c>
      <c r="C11" s="14" t="n">
        <v>0.2375</v>
      </c>
      <c r="D11" s="9" t="inlineStr">
        <is>
          <t>Art. 63.º e 168.º Cód. Contributivo</t>
        </is>
      </c>
      <c r="E11" s="11" t="inlineStr">
        <is>
          <t>CONFIRMAR (ver R1-12)</t>
        </is>
      </c>
      <c r="F11" s="12" t="n">
        <v>1</v>
      </c>
    </row>
    <row r="12">
      <c r="A12" s="8" t="inlineStr">
        <is>
          <t>MOE/gerência — taxa a cargo do beneficiário</t>
        </is>
      </c>
      <c r="B12" s="9" t="inlineStr">
        <is>
          <t>SS_MOE_BEN</t>
        </is>
      </c>
      <c r="C12" s="14" t="n">
        <v>0.11</v>
      </c>
      <c r="D12" s="9" t="inlineStr">
        <is>
          <t>Art. 63.º e 168.º Cód. Contributivo</t>
        </is>
      </c>
      <c r="E12" s="11" t="inlineStr">
        <is>
          <t>CONFIRMAR (ver R1-12)</t>
        </is>
      </c>
      <c r="F12" s="12" t="n">
        <v>1</v>
      </c>
    </row>
    <row r="13">
      <c r="A13" s="8" t="inlineStr">
        <is>
          <t>MOE — base de incidência mínima (múltiplo do IAS)</t>
        </is>
      </c>
      <c r="B13" s="9" t="inlineStr">
        <is>
          <t>SS_MOE_MIN</t>
        </is>
      </c>
      <c r="C13" s="15" t="n">
        <v>1</v>
      </c>
      <c r="D13" s="9" t="inlineStr">
        <is>
          <t>Art. 166.º Cód. Contributivo</t>
        </is>
      </c>
      <c r="E13" s="9" t="inlineStr">
        <is>
          <t>Confirmar</t>
        </is>
      </c>
      <c r="F13" s="12" t="n">
        <v>0</v>
      </c>
    </row>
    <row r="14">
      <c r="A14" s="8" t="inlineStr">
        <is>
          <t>Trabalhador por conta de outrem — taxa a cargo da entidade empregadora</t>
        </is>
      </c>
      <c r="B14" s="9" t="inlineStr">
        <is>
          <t>TSU_ENT</t>
        </is>
      </c>
      <c r="C14" s="14" t="n">
        <v>0.2375</v>
      </c>
      <c r="D14" s="9" t="inlineStr">
        <is>
          <t>Art. 53.º Cód. Contributivo</t>
        </is>
      </c>
      <c r="E14" s="9" t="inlineStr">
        <is>
          <t>Confirmar</t>
        </is>
      </c>
      <c r="F14" s="12" t="n">
        <v>0</v>
      </c>
    </row>
    <row r="15">
      <c r="A15" s="8" t="inlineStr">
        <is>
          <t>Trabalhador por conta de outrem — taxa a cargo do trabalhador</t>
        </is>
      </c>
      <c r="B15" s="9" t="inlineStr">
        <is>
          <t>TSU_TRAB</t>
        </is>
      </c>
      <c r="C15" s="14" t="n">
        <v>0.11</v>
      </c>
      <c r="D15" s="9" t="inlineStr">
        <is>
          <t>Art. 53.º Cód. Contributivo</t>
        </is>
      </c>
      <c r="E15" s="9" t="inlineStr">
        <is>
          <t>Confirmar</t>
        </is>
      </c>
      <c r="F15" s="12" t="n">
        <v>0</v>
      </c>
    </row>
    <row r="16">
      <c r="A16" s="8" t="inlineStr">
        <is>
          <t>Prazo de prescrição das contribuições (anos)</t>
        </is>
      </c>
      <c r="B16" s="9" t="inlineStr">
        <is>
          <t>PRESCR</t>
        </is>
      </c>
      <c r="C16" s="15" t="n">
        <v>5</v>
      </c>
      <c r="D16" s="9" t="inlineStr">
        <is>
          <t>Art. 187.º Cód. Contributivo</t>
        </is>
      </c>
      <c r="E16" s="11" t="inlineStr">
        <is>
          <t>CONFIRMAR (ver R1-37)</t>
        </is>
      </c>
      <c r="F16" s="12" t="n">
        <v>1</v>
      </c>
    </row>
    <row r="17">
      <c r="A17" s="8" t="inlineStr">
        <is>
          <t>Taxa anual de juros de mora aplicada às contribuições em falta</t>
        </is>
      </c>
      <c r="B17" s="9" t="inlineStr">
        <is>
          <t>JUROS_MORA</t>
        </is>
      </c>
      <c r="C17" s="14" t="n">
        <v>0.05</v>
      </c>
      <c r="D17" s="9" t="inlineStr">
        <is>
          <t>Regime dos juros de mora de dívidas ao Estado</t>
        </is>
      </c>
      <c r="E17" s="11" t="inlineStr">
        <is>
          <t>CONFIRMAR taxa em vigor</t>
        </is>
      </c>
      <c r="F17" s="12" t="n">
        <v>1</v>
      </c>
    </row>
    <row r="18">
      <c r="A18" s="2" t="inlineStr">
        <is>
          <t>IRS — categoria B e regras de determinação</t>
        </is>
      </c>
      <c r="B18" s="7" t="n"/>
      <c r="C18" s="7" t="n"/>
      <c r="D18" s="7" t="n"/>
      <c r="E18" s="7" t="n"/>
    </row>
    <row r="19">
      <c r="A19" s="8" t="inlineStr">
        <is>
          <t>Coeficiente do regime simplificado (atividades do art. 151.º)</t>
        </is>
      </c>
      <c r="B19" s="9" t="inlineStr">
        <is>
          <t>COEF</t>
        </is>
      </c>
      <c r="C19" s="13" t="n">
        <v>0.75</v>
      </c>
      <c r="D19" s="9" t="inlineStr">
        <is>
          <t>Art. 31.º n.º 1 al. b) CIRS — fisioterapeutas constam da tabela do art. 151.º</t>
        </is>
      </c>
      <c r="E19" s="9" t="inlineStr">
        <is>
          <t>Validado</t>
        </is>
      </c>
      <c r="F19" s="12" t="n">
        <v>0</v>
      </c>
    </row>
    <row r="20">
      <c r="A20" s="8" t="inlineStr">
        <is>
          <t>Limiar de justificação de despesas</t>
        </is>
      </c>
      <c r="B20" s="9" t="inlineStr">
        <is>
          <t>LIM_JUST</t>
        </is>
      </c>
      <c r="C20" s="13" t="n">
        <v>0.15</v>
      </c>
      <c r="D20" s="9" t="inlineStr">
        <is>
          <t>Art. 31.º n.º 13 CIRS</t>
        </is>
      </c>
      <c r="E20" s="9" t="inlineStr">
        <is>
          <t>Validado</t>
        </is>
      </c>
      <c r="F20" s="12" t="n">
        <v>0</v>
      </c>
    </row>
    <row r="21">
      <c r="A21" s="8" t="inlineStr">
        <is>
          <t>Dedução específica considerada na justificação de despesas</t>
        </is>
      </c>
      <c r="B21" s="9" t="inlineStr">
        <is>
          <t>DED_ESP</t>
        </is>
      </c>
      <c r="C21" s="10" t="n">
        <v>4104</v>
      </c>
      <c r="D21" s="9" t="inlineStr">
        <is>
          <t>Art. 31.º n.º 13 al. a) CIRS</t>
        </is>
      </c>
      <c r="E21" s="9" t="inlineStr">
        <is>
          <t>Confirmar valor em vigor</t>
        </is>
      </c>
      <c r="F21" s="12" t="n">
        <v>0</v>
      </c>
    </row>
    <row r="22">
      <c r="A22" s="8" t="inlineStr">
        <is>
          <t>Contribuições SS — dedutíveis na parte que excede esta % do rendimento bruto</t>
        </is>
      </c>
      <c r="B22" s="9" t="inlineStr">
        <is>
          <t>LIM_CONTRIB</t>
        </is>
      </c>
      <c r="C22" s="13" t="n">
        <v>0.1</v>
      </c>
      <c r="D22" s="9" t="inlineStr">
        <is>
          <t>Art. 31.º n.º 2 CIRS</t>
        </is>
      </c>
      <c r="E22" s="9" t="inlineStr">
        <is>
          <t>Confirmar</t>
        </is>
      </c>
      <c r="F22" s="12" t="n">
        <v>0</v>
      </c>
    </row>
    <row r="23">
      <c r="A23" s="8" t="inlineStr">
        <is>
          <t>Limiar de permanência no regime simplificado (rendimento bruto)</t>
        </is>
      </c>
      <c r="B23" s="9" t="inlineStr">
        <is>
          <t>LIM_SIMPL</t>
        </is>
      </c>
      <c r="C23" s="16" t="n">
        <v>200000</v>
      </c>
      <c r="D23" s="9" t="inlineStr">
        <is>
          <t>Art. 28.º n.º 2 CIRS</t>
        </is>
      </c>
      <c r="E23" s="9" t="inlineStr">
        <is>
          <t>Confirmar</t>
        </is>
      </c>
      <c r="F23" s="12" t="n">
        <v>0</v>
      </c>
    </row>
    <row r="24">
      <c r="A24" s="8" t="inlineStr">
        <is>
          <t>Período mínimo de permanência na opção por contabilidade organizada (anos)</t>
        </is>
      </c>
      <c r="B24" s="9" t="inlineStr">
        <is>
          <t>PERM_OPCAO</t>
        </is>
      </c>
      <c r="C24" s="15" t="n">
        <v>3</v>
      </c>
      <c r="D24" s="9" t="inlineStr">
        <is>
          <t>Art. 28.º n.º 5 CIRS</t>
        </is>
      </c>
      <c r="E24" s="9" t="inlineStr">
        <is>
          <t>Confirmar</t>
        </is>
      </c>
      <c r="F24" s="12" t="n">
        <v>0</v>
      </c>
    </row>
    <row r="25">
      <c r="A25" s="8" t="inlineStr">
        <is>
          <t>Dedução específica da categoria A</t>
        </is>
      </c>
      <c r="B25" s="9" t="inlineStr">
        <is>
          <t>DED_CATA</t>
        </is>
      </c>
      <c r="C25" s="10" t="n">
        <v>4104</v>
      </c>
      <c r="D25" s="9" t="inlineStr">
        <is>
          <t>Art. 25.º n.º 1 al. a) CIRS</t>
        </is>
      </c>
      <c r="E25" s="9" t="inlineStr">
        <is>
          <t>Confirmar valor em vigor</t>
        </is>
      </c>
      <c r="F25" s="12" t="n">
        <v>0</v>
      </c>
    </row>
    <row r="26">
      <c r="A26" s="8" t="inlineStr">
        <is>
          <t>Coeficiente do simplificado aplicável à receita de cedência de espaço</t>
        </is>
      </c>
      <c r="B26" s="9" t="inlineStr">
        <is>
          <t>COEF_SALA</t>
        </is>
      </c>
      <c r="C26" s="13" t="n">
        <v>0.35</v>
      </c>
      <c r="D26" s="9" t="inlineStr">
        <is>
          <t>Art. 31.º n.º 1 al. c) CIRS — restantes prestações de serviços</t>
        </is>
      </c>
      <c r="E26" s="11" t="inlineStr">
        <is>
          <t>CONFIRMAR (ver R1-29). Depende de N1-04</t>
        </is>
      </c>
      <c r="F26" s="12" t="n">
        <v>1</v>
      </c>
    </row>
    <row r="27">
      <c r="A27" s="2" t="inlineStr">
        <is>
          <t>IRC e tributação da distribuição</t>
        </is>
      </c>
      <c r="B27" s="7" t="n"/>
      <c r="C27" s="7" t="n"/>
      <c r="D27" s="7" t="n"/>
      <c r="E27" s="7" t="n"/>
    </row>
    <row r="28">
      <c r="A28" s="8" t="inlineStr">
        <is>
          <t>IRC — taxa aplicável ao primeiro escalão (PME)</t>
        </is>
      </c>
      <c r="B28" s="9" t="inlineStr">
        <is>
          <t>IRC_PME</t>
        </is>
      </c>
      <c r="C28" s="13" t="n">
        <v>0.16</v>
      </c>
      <c r="D28" s="9" t="inlineStr">
        <is>
          <t>Art. 87.º n.º 2 CIRC</t>
        </is>
      </c>
      <c r="E28" s="11" t="inlineStr">
        <is>
          <t>CONFIRMAR TAXA 2026 (ver R1-11)</t>
        </is>
      </c>
      <c r="F28" s="12" t="n">
        <v>1</v>
      </c>
    </row>
    <row r="29">
      <c r="A29" s="8" t="inlineStr">
        <is>
          <t>IRC — limite da matéria coletável do primeiro escalão</t>
        </is>
      </c>
      <c r="B29" s="9" t="inlineStr">
        <is>
          <t>IRC_LIM</t>
        </is>
      </c>
      <c r="C29" s="16" t="n">
        <v>50000</v>
      </c>
      <c r="D29" s="9" t="inlineStr">
        <is>
          <t>Art. 87.º n.º 2 CIRC</t>
        </is>
      </c>
      <c r="E29" s="11" t="inlineStr">
        <is>
          <t>CONFIRMAR 2026</t>
        </is>
      </c>
      <c r="F29" s="12" t="n">
        <v>1</v>
      </c>
    </row>
    <row r="30">
      <c r="A30" s="8" t="inlineStr">
        <is>
          <t>IRC — taxa geral</t>
        </is>
      </c>
      <c r="B30" s="9" t="inlineStr">
        <is>
          <t>IRC_GER</t>
        </is>
      </c>
      <c r="C30" s="13" t="n">
        <v>0.2</v>
      </c>
      <c r="D30" s="9" t="inlineStr">
        <is>
          <t>Art. 87.º n.º 1 CIRC</t>
        </is>
      </c>
      <c r="E30" s="11" t="inlineStr">
        <is>
          <t>CONFIRMAR TAXA 2026 (ver R1-11)</t>
        </is>
      </c>
      <c r="F30" s="12" t="n">
        <v>1</v>
      </c>
    </row>
    <row r="31">
      <c r="A31" s="8" t="inlineStr">
        <is>
          <t>Derrama municipal (município do Porto)</t>
        </is>
      </c>
      <c r="B31" s="9" t="inlineStr">
        <is>
          <t>DERRAMA</t>
        </is>
      </c>
      <c r="C31" s="14" t="n">
        <v>0.015</v>
      </c>
      <c r="D31" s="9" t="inlineStr">
        <is>
          <t>Art. 18.º Lei 73/2013 + deliberação municipal</t>
        </is>
      </c>
      <c r="E31" s="11" t="inlineStr">
        <is>
          <t>CONFIRMAR município e isenção PME</t>
        </is>
      </c>
      <c r="F31" s="12" t="n">
        <v>1</v>
      </c>
    </row>
    <row r="32">
      <c r="A32" s="8" t="inlineStr">
        <is>
          <t>Derrama incide sobre sociedade transparente? (1=sim / 0=não)</t>
        </is>
      </c>
      <c r="B32" s="9" t="inlineStr">
        <is>
          <t>DERR_TRANSP</t>
        </is>
      </c>
      <c r="C32" s="15" t="n">
        <v>0</v>
      </c>
      <c r="D32" s="9" t="inlineStr">
        <is>
          <t>Questão controvertida — art. 12.º CIRC vs. art. 18.º Lei 73/2013</t>
        </is>
      </c>
      <c r="E32" s="11" t="inlineStr">
        <is>
          <t>EM ABERTO (ver R1-13)</t>
        </is>
      </c>
      <c r="F32" s="12" t="n">
        <v>1</v>
      </c>
    </row>
    <row r="33">
      <c r="A33" s="8" t="inlineStr">
        <is>
          <t>Dividendos — taxa liberatória</t>
        </is>
      </c>
      <c r="B33" s="9" t="inlineStr">
        <is>
          <t>DIV_LIB</t>
        </is>
      </c>
      <c r="C33" s="13" t="n">
        <v>0.28</v>
      </c>
      <c r="D33" s="9" t="inlineStr">
        <is>
          <t>Art. 71.º n.º 1 CIRS</t>
        </is>
      </c>
      <c r="E33" s="9" t="inlineStr">
        <is>
          <t>Confirmar</t>
        </is>
      </c>
      <c r="F33" s="12" t="n">
        <v>0</v>
      </c>
    </row>
    <row r="34">
      <c r="A34" s="8" t="inlineStr">
        <is>
          <t>Dividendos — % considerada em caso de englobamento</t>
        </is>
      </c>
      <c r="B34" s="9" t="inlineStr">
        <is>
          <t>DIV_ENG</t>
        </is>
      </c>
      <c r="C34" s="13" t="n">
        <v>0.5</v>
      </c>
      <c r="D34" s="9" t="inlineStr">
        <is>
          <t>Art. 40.º-A n.º 1 CIRS</t>
        </is>
      </c>
      <c r="E34" s="9" t="inlineStr">
        <is>
          <t>Confirmar</t>
        </is>
      </c>
      <c r="F34" s="12" t="n">
        <v>0</v>
      </c>
    </row>
    <row r="35">
      <c r="A35" s="2" t="inlineStr">
        <is>
          <t>IVA</t>
        </is>
      </c>
      <c r="B35" s="7" t="n"/>
      <c r="C35" s="7" t="n"/>
      <c r="D35" s="7" t="n"/>
      <c r="E35" s="7" t="n"/>
    </row>
    <row r="36">
      <c r="A36" s="8" t="inlineStr">
        <is>
          <t>IVA — taxa normal (continente)</t>
        </is>
      </c>
      <c r="B36" s="9" t="inlineStr">
        <is>
          <t>IVA_NORM</t>
        </is>
      </c>
      <c r="C36" s="13" t="n">
        <v>0.23</v>
      </c>
      <c r="D36" s="9" t="inlineStr">
        <is>
          <t>Art. 18.º n.º 1 al. c) CIVA</t>
        </is>
      </c>
      <c r="E36" s="9" t="inlineStr">
        <is>
          <t>Validado</t>
        </is>
      </c>
      <c r="F36" s="12" t="n">
        <v>0</v>
      </c>
    </row>
    <row r="37">
      <c r="A37" s="8" t="inlineStr">
        <is>
          <t>IVA — taxa reduzida (continente)</t>
        </is>
      </c>
      <c r="B37" s="9" t="inlineStr">
        <is>
          <t>IVA_RED</t>
        </is>
      </c>
      <c r="C37" s="13" t="n">
        <v>0.06</v>
      </c>
      <c r="D37" s="9" t="inlineStr">
        <is>
          <t>Art. 18.º n.º 1 al. a) CIVA + Lista I</t>
        </is>
      </c>
      <c r="E37" s="9" t="inlineStr">
        <is>
          <t>Validado</t>
        </is>
      </c>
      <c r="F37" s="12" t="n">
        <v>0</v>
      </c>
    </row>
    <row r="38">
      <c r="A38" s="2" t="inlineStr">
        <is>
          <t>Amortizações (vias com contabilidade)</t>
        </is>
      </c>
      <c r="B38" s="7" t="n"/>
      <c r="C38" s="7" t="n"/>
      <c r="D38" s="7" t="n"/>
      <c r="E38" s="7" t="n"/>
    </row>
    <row r="39">
      <c r="A39" s="8" t="inlineStr">
        <is>
          <t>Taxa de amortização — obras / benfeitorias em imóvel alheio</t>
        </is>
      </c>
      <c r="B39" s="9" t="inlineStr">
        <is>
          <t>AM_OBRAS</t>
        </is>
      </c>
      <c r="C39" s="13" t="n">
        <v>0.1</v>
      </c>
      <c r="D39" s="9" t="inlineStr">
        <is>
          <t>DR 25/2009 — ou período do contrato de arrendamento, se inferior</t>
        </is>
      </c>
      <c r="E39" s="11" t="inlineStr">
        <is>
          <t>CONFIRMAR código aplicável</t>
        </is>
      </c>
      <c r="F39" s="12" t="n">
        <v>1</v>
      </c>
    </row>
    <row r="40">
      <c r="A40" s="8" t="inlineStr">
        <is>
          <t>Taxa de amortização — equipamento clínico</t>
        </is>
      </c>
      <c r="B40" s="9" t="inlineStr">
        <is>
          <t>AM_EQUIP</t>
        </is>
      </c>
      <c r="C40" s="13" t="n">
        <v>0.2</v>
      </c>
      <c r="D40" s="9" t="inlineStr">
        <is>
          <t>DR 25/2009, tabela II</t>
        </is>
      </c>
      <c r="E40" s="11" t="inlineStr">
        <is>
          <t>CONFIRMAR código aplicável</t>
        </is>
      </c>
      <c r="F40" s="12" t="n">
        <v>1</v>
      </c>
    </row>
    <row r="41">
      <c r="A41" s="8" t="inlineStr">
        <is>
          <t>Taxa de amortização — software</t>
        </is>
      </c>
      <c r="B41" s="9" t="inlineStr">
        <is>
          <t>AM_SOFT</t>
        </is>
      </c>
      <c r="C41" s="13" t="n">
        <v>0.3333</v>
      </c>
      <c r="D41" s="9" t="inlineStr">
        <is>
          <t>DR 25/2009</t>
        </is>
      </c>
      <c r="E41" s="11" t="inlineStr">
        <is>
          <t>CONFIRMAR</t>
        </is>
      </c>
      <c r="F41" s="12" t="n">
        <v>1</v>
      </c>
    </row>
    <row r="42">
      <c r="A42" s="2" t="inlineStr">
        <is>
          <t>Transparência fiscal — limiares do teste (usados na N1, não no cálculo)</t>
        </is>
      </c>
      <c r="B42" s="7" t="n"/>
      <c r="C42" s="7" t="n"/>
      <c r="D42" s="7" t="n"/>
      <c r="E42" s="7" t="n"/>
    </row>
    <row r="43">
      <c r="A43" s="8" t="inlineStr">
        <is>
          <t>% mínima de capital detida por profissionais das atividades do art. 151.º</t>
        </is>
      </c>
      <c r="B43" s="9" t="inlineStr">
        <is>
          <t>TF_CAP</t>
        </is>
      </c>
      <c r="C43" s="13" t="n">
        <v>0.75</v>
      </c>
      <c r="D43" s="9" t="inlineStr">
        <is>
          <t>Art. 6.º n.º 4 al. b) subal. ii) CIRC</t>
        </is>
      </c>
      <c r="E43" s="9" t="inlineStr">
        <is>
          <t>Validado</t>
        </is>
      </c>
      <c r="F43" s="12" t="n">
        <v>0</v>
      </c>
    </row>
    <row r="44">
      <c r="A44" s="8" t="inlineStr">
        <is>
          <t>% mínima de rendimentos provenientes de atividades do art. 151.º</t>
        </is>
      </c>
      <c r="B44" s="9" t="inlineStr">
        <is>
          <t>TF_REND</t>
        </is>
      </c>
      <c r="C44" s="13" t="n">
        <v>0.75</v>
      </c>
      <c r="D44" s="9" t="inlineStr">
        <is>
          <t>Art. 6.º n.º 4 al. b) subal. ii) CIRC</t>
        </is>
      </c>
      <c r="E44" s="9" t="inlineStr">
        <is>
          <t>Validado</t>
        </is>
      </c>
      <c r="F44" s="12" t="n">
        <v>0</v>
      </c>
    </row>
    <row r="45">
      <c r="A45" s="8" t="inlineStr">
        <is>
          <t>N.º máximo de sócios para o teste da subal. ii)</t>
        </is>
      </c>
      <c r="B45" s="9" t="inlineStr">
        <is>
          <t>TF_SOCIOS</t>
        </is>
      </c>
      <c r="C45" s="15" t="n">
        <v>5</v>
      </c>
      <c r="D45" s="9" t="inlineStr">
        <is>
          <t>Art. 6.º n.º 4 al. b) subal. ii) CIRC</t>
        </is>
      </c>
      <c r="E45" s="9" t="inlineStr">
        <is>
          <t>Validado</t>
        </is>
      </c>
      <c r="F45" s="12" t="n">
        <v>0</v>
      </c>
    </row>
    <row r="47">
      <c r="A47" s="2" t="inlineStr">
        <is>
          <t>Escalões de IRS — taxas gerais</t>
        </is>
      </c>
      <c r="B47" s="7" t="n"/>
      <c r="C47" s="7" t="n"/>
      <c r="D47" s="7" t="n"/>
      <c r="E47" s="7" t="n"/>
    </row>
    <row r="48" ht="26" customHeight="1">
      <c r="A48" s="17" t="inlineStr">
        <is>
          <t>Tabela em vigor: 2025 (Lei n.º 33-A/2025). ATUALIZAR para os escalões do OE2026 antes de qualquer número entrar no relatório. A coluna 'Delta' é a mecânica de cálculo (taxa do escalão menos taxa do anterior) e recalcula sozinha.</t>
        </is>
      </c>
    </row>
    <row r="49" ht="28" customHeight="1">
      <c r="A49" s="6" t="inlineStr">
        <is>
          <t>Escalão</t>
        </is>
      </c>
      <c r="B49" s="6" t="inlineStr">
        <is>
          <t>Limite inferior</t>
        </is>
      </c>
      <c r="C49" s="6" t="inlineStr">
        <is>
          <t>Limite superior</t>
        </is>
      </c>
      <c r="D49" s="6" t="inlineStr">
        <is>
          <t>Taxa</t>
        </is>
      </c>
      <c r="E49" s="6" t="inlineStr">
        <is>
          <t>Delta (calculado)</t>
        </is>
      </c>
    </row>
    <row r="50">
      <c r="A50" s="8" t="n">
        <v>1</v>
      </c>
      <c r="B50" s="16" t="n">
        <v>0</v>
      </c>
      <c r="C50" s="16" t="n">
        <v>8059</v>
      </c>
      <c r="D50" s="14" t="n">
        <v>0.125</v>
      </c>
      <c r="E50" s="18">
        <f>D50</f>
        <v/>
      </c>
    </row>
    <row r="51">
      <c r="A51" s="8" t="n">
        <v>2</v>
      </c>
      <c r="B51" s="16" t="n">
        <v>8059</v>
      </c>
      <c r="C51" s="16" t="n">
        <v>12160</v>
      </c>
      <c r="D51" s="14" t="n">
        <v>0.16</v>
      </c>
      <c r="E51" s="18">
        <f>D51-D50</f>
        <v/>
      </c>
    </row>
    <row r="52">
      <c r="A52" s="8" t="n">
        <v>3</v>
      </c>
      <c r="B52" s="16" t="n">
        <v>12160</v>
      </c>
      <c r="C52" s="16" t="n">
        <v>17233</v>
      </c>
      <c r="D52" s="14" t="n">
        <v>0.215</v>
      </c>
      <c r="E52" s="18">
        <f>D52-D51</f>
        <v/>
      </c>
    </row>
    <row r="53">
      <c r="A53" s="8" t="n">
        <v>4</v>
      </c>
      <c r="B53" s="16" t="n">
        <v>17233</v>
      </c>
      <c r="C53" s="16" t="n">
        <v>22306</v>
      </c>
      <c r="D53" s="14" t="n">
        <v>0.244</v>
      </c>
      <c r="E53" s="18">
        <f>D53-D52</f>
        <v/>
      </c>
    </row>
    <row r="54">
      <c r="A54" s="8" t="n">
        <v>5</v>
      </c>
      <c r="B54" s="16" t="n">
        <v>22306</v>
      </c>
      <c r="C54" s="16" t="n">
        <v>28400</v>
      </c>
      <c r="D54" s="14" t="n">
        <v>0.314</v>
      </c>
      <c r="E54" s="18">
        <f>D54-D53</f>
        <v/>
      </c>
    </row>
    <row r="55">
      <c r="A55" s="8" t="n">
        <v>6</v>
      </c>
      <c r="B55" s="16" t="n">
        <v>28400</v>
      </c>
      <c r="C55" s="16" t="n">
        <v>41629</v>
      </c>
      <c r="D55" s="14" t="n">
        <v>0.349</v>
      </c>
      <c r="E55" s="18">
        <f>D55-D54</f>
        <v/>
      </c>
    </row>
    <row r="56">
      <c r="A56" s="8" t="n">
        <v>7</v>
      </c>
      <c r="B56" s="16" t="n">
        <v>41629</v>
      </c>
      <c r="C56" s="16" t="n">
        <v>44987</v>
      </c>
      <c r="D56" s="14" t="n">
        <v>0.431</v>
      </c>
      <c r="E56" s="18">
        <f>D56-D55</f>
        <v/>
      </c>
    </row>
    <row r="57">
      <c r="A57" s="8" t="n">
        <v>8</v>
      </c>
      <c r="B57" s="16" t="n">
        <v>44987</v>
      </c>
      <c r="C57" s="16" t="n">
        <v>83696</v>
      </c>
      <c r="D57" s="14" t="n">
        <v>0.446</v>
      </c>
      <c r="E57" s="18">
        <f>D57-D56</f>
        <v/>
      </c>
    </row>
    <row r="58">
      <c r="A58" s="8" t="n">
        <v>9</v>
      </c>
      <c r="B58" s="16" t="n">
        <v>83696</v>
      </c>
      <c r="C58" s="19" t="inlineStr">
        <is>
          <t>sem limite</t>
        </is>
      </c>
      <c r="D58" s="14" t="n">
        <v>0.48</v>
      </c>
      <c r="E58" s="18">
        <f>D58-D57</f>
        <v/>
      </c>
    </row>
    <row r="60">
      <c r="A60" s="2" t="inlineStr">
        <is>
          <t>Taxa adicional de solidariedade (art. 68.º-A CIRS)</t>
        </is>
      </c>
      <c r="B60" s="7" t="n"/>
      <c r="C60" s="7" t="n"/>
      <c r="D60" s="7" t="n"/>
      <c r="E60" s="7" t="n"/>
    </row>
    <row r="61" ht="28" customHeight="1">
      <c r="A61" s="6" t="inlineStr">
        <is>
          <t>Escalão</t>
        </is>
      </c>
      <c r="B61" s="6" t="inlineStr">
        <is>
          <t>Limite inferior</t>
        </is>
      </c>
      <c r="C61" s="6" t="inlineStr">
        <is>
          <t>Limite superior</t>
        </is>
      </c>
      <c r="D61" s="6" t="inlineStr">
        <is>
          <t>Taxa</t>
        </is>
      </c>
      <c r="E61" s="6" t="inlineStr">
        <is>
          <t>Delta (calculado)</t>
        </is>
      </c>
    </row>
    <row r="62">
      <c r="A62" s="8" t="n">
        <v>1</v>
      </c>
      <c r="B62" s="16" t="n">
        <v>80000</v>
      </c>
      <c r="C62" s="16" t="n">
        <v>250000</v>
      </c>
      <c r="D62" s="14" t="n">
        <v>0.025</v>
      </c>
      <c r="E62" s="18">
        <f>D62</f>
        <v/>
      </c>
    </row>
    <row r="63">
      <c r="A63" s="8" t="n">
        <v>2</v>
      </c>
      <c r="B63" s="16" t="n">
        <v>250000</v>
      </c>
      <c r="C63" s="19" t="inlineStr">
        <is>
          <t>sem limite</t>
        </is>
      </c>
      <c r="D63" s="14" t="n">
        <v>0.05</v>
      </c>
      <c r="E63" s="18">
        <f>D63-D62</f>
        <v/>
      </c>
    </row>
    <row r="65">
      <c r="A65" s="9" t="inlineStr">
        <is>
          <t>Legenda: células a azul sobre fundo amarelo são de preenchimento; tudo o resto é fórmula. Nenhuma taxa deve ser escrita dentro de uma fórmula noutra folha — se faltar um parâmetro, acrescenta-se aqui.</t>
        </is>
      </c>
    </row>
  </sheetData>
  <mergeCells count="2">
    <mergeCell ref="A65:E65"/>
    <mergeCell ref="A48:E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6" customWidth="1" min="1" max="1"/>
    <col width="14" customWidth="1" min="2" max="2"/>
    <col width="14" customWidth="1" min="3" max="3"/>
    <col width="14" customWidth="1" min="4" max="4"/>
    <col width="14" customWidth="1" min="5" max="5"/>
    <col width="54" customWidth="1" min="6" max="6"/>
  </cols>
  <sheetData>
    <row r="1">
      <c r="A1" s="1" t="inlineStr">
        <is>
          <t>M1 — Camada operacional: capacidade, utilização e faturação</t>
        </is>
      </c>
    </row>
    <row r="2" ht="46" customHeight="1">
      <c r="A2" s="20" t="inlineStr">
        <is>
          <t>A faturação deixa de ser um palpite e passa a ser uma consequência. Gabinetes, dias de funcionamento, duração da consulta e preço determinam quanto é possível faturar — e a linha de utilização diz se a projeção cabe no espaço. Uma projeção que exija mais de 100% de utilização é impossível, não é otimista.</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Espaço e horário</t>
        </is>
      </c>
      <c r="B5" s="7" t="n"/>
      <c r="C5" s="7" t="n"/>
      <c r="D5" s="7" t="n"/>
      <c r="E5" s="7" t="n"/>
      <c r="F5" s="7" t="n"/>
    </row>
    <row r="6">
      <c r="A6" s="8" t="inlineStr">
        <is>
          <t>N.º de gabinetes</t>
        </is>
      </c>
      <c r="B6" s="9" t="inlineStr">
        <is>
          <t>N_GAB</t>
        </is>
      </c>
      <c r="C6" s="15" t="n">
        <v>2</v>
      </c>
      <c r="D6" s="15" t="n">
        <v>2</v>
      </c>
      <c r="E6" s="15" t="n">
        <v>3</v>
      </c>
      <c r="F6" s="17" t="inlineStr">
        <is>
          <t>Input cliente 3 — EM FALTA. Ata, ponto 3: dois espaços em avaliação, 2 e 3 gabinetes. A comparação dedicada está na folha Espaco.</t>
        </is>
      </c>
    </row>
    <row r="7">
      <c r="A7" s="8" t="inlineStr">
        <is>
          <t>Dias de funcionamento por ano</t>
        </is>
      </c>
      <c r="B7" s="9" t="inlineStr">
        <is>
          <t>DIAS_ANO</t>
        </is>
      </c>
      <c r="C7" s="15" t="n">
        <v>220</v>
      </c>
      <c r="D7" s="15" t="n">
        <v>220</v>
      </c>
      <c r="E7" s="15" t="n">
        <v>220</v>
      </c>
      <c r="F7" s="17" t="inlineStr">
        <is>
          <t>EM FALTA. 220 dias corresponde a semana de 5 dias com férias e feriados.</t>
        </is>
      </c>
    </row>
    <row r="8">
      <c r="A8" s="8" t="inlineStr">
        <is>
          <t>Horas úteis por gabinete por dia</t>
        </is>
      </c>
      <c r="B8" s="9" t="inlineStr">
        <is>
          <t>HORAS_DIA</t>
        </is>
      </c>
      <c r="C8" s="15" t="n">
        <v>8</v>
      </c>
      <c r="D8" s="15" t="n">
        <v>8</v>
      </c>
      <c r="E8" s="15" t="n">
        <v>8</v>
      </c>
      <c r="F8" s="17" t="inlineStr">
        <is>
          <t>EM FALTA.</t>
        </is>
      </c>
    </row>
    <row r="9">
      <c r="A9" s="8" t="inlineStr">
        <is>
          <t>Duração média da consulta (minutos)</t>
        </is>
      </c>
      <c r="B9" s="9" t="inlineStr">
        <is>
          <t>DUR_CONS</t>
        </is>
      </c>
      <c r="C9" s="15" t="n">
        <v>45</v>
      </c>
      <c r="D9" s="15" t="n">
        <v>45</v>
      </c>
      <c r="E9" s="15" t="n">
        <v>45</v>
      </c>
      <c r="F9" s="17" t="inlineStr">
        <is>
          <t>EM FALTA. Determina a capacidade. Sessões de 30 ou de 60 minutos mudam tudo o que vem abaixo.</t>
        </is>
      </c>
    </row>
    <row r="10">
      <c r="A10" s="2" t="inlineStr">
        <is>
          <t>Atividade da Dra. Júlia</t>
        </is>
      </c>
      <c r="B10" s="7" t="n"/>
      <c r="C10" s="7" t="n"/>
      <c r="D10" s="7" t="n"/>
      <c r="E10" s="7" t="n"/>
      <c r="F10" s="7" t="n"/>
    </row>
    <row r="11">
      <c r="A11" s="8" t="inlineStr">
        <is>
          <t>Dias por ano em que atende</t>
        </is>
      </c>
      <c r="B11" s="9" t="inlineStr">
        <is>
          <t>DIAS_JUL</t>
        </is>
      </c>
      <c r="C11" s="15" t="n">
        <v>190</v>
      </c>
      <c r="D11" s="15" t="n">
        <v>200</v>
      </c>
      <c r="E11" s="15" t="n">
        <v>210</v>
      </c>
      <c r="F11" s="17" t="inlineStr">
        <is>
          <t>EM FALTA.</t>
        </is>
      </c>
    </row>
    <row r="12">
      <c r="A12" s="8" t="inlineStr">
        <is>
          <t>Consultas por dia</t>
        </is>
      </c>
      <c r="B12" s="9" t="inlineStr">
        <is>
          <t>CONS_JUL</t>
        </is>
      </c>
      <c r="C12" s="15" t="n">
        <v>5</v>
      </c>
      <c r="D12" s="15" t="n">
        <v>6</v>
      </c>
      <c r="E12" s="15" t="n">
        <v>7</v>
      </c>
      <c r="F12" s="17" t="inlineStr">
        <is>
          <t>EM FALTA.</t>
        </is>
      </c>
    </row>
    <row r="13">
      <c r="A13" s="8" t="inlineStr">
        <is>
          <t>Preço médio por consulta</t>
        </is>
      </c>
      <c r="B13" s="9" t="inlineStr">
        <is>
          <t>PRECO_JUL</t>
        </is>
      </c>
      <c r="C13" s="16" t="n">
        <v>45</v>
      </c>
      <c r="D13" s="16" t="n">
        <v>48</v>
      </c>
      <c r="E13" s="16" t="n">
        <v>50</v>
      </c>
      <c r="F13" s="17" t="inlineStr">
        <is>
          <t>Input cliente 2 — EM FALTA. Sai da tabela de preços, que a ata regista como inexistente.</t>
        </is>
      </c>
    </row>
    <row r="14">
      <c r="A14" s="2" t="inlineStr">
        <is>
          <t>Fisioterapeutas a integrar</t>
        </is>
      </c>
      <c r="B14" s="7" t="n"/>
      <c r="C14" s="7" t="n"/>
      <c r="D14" s="7" t="n"/>
      <c r="E14" s="7" t="n"/>
      <c r="F14" s="7" t="n"/>
    </row>
    <row r="15">
      <c r="A15" s="8" t="inlineStr">
        <is>
          <t>N.º de fisioterapeutas</t>
        </is>
      </c>
      <c r="B15" s="9" t="inlineStr">
        <is>
          <t>N_FISIO</t>
        </is>
      </c>
      <c r="C15" s="15" t="n">
        <v>1</v>
      </c>
      <c r="D15" s="15" t="n">
        <v>1</v>
      </c>
      <c r="E15" s="15" t="n">
        <v>2</v>
      </c>
      <c r="F15" s="17" t="inlineStr">
        <is>
          <t>Ata, ponto 3.</t>
        </is>
      </c>
    </row>
    <row r="16">
      <c r="A16" s="8" t="inlineStr">
        <is>
          <t>Dias por ano, por profissional</t>
        </is>
      </c>
      <c r="B16" s="9" t="inlineStr">
        <is>
          <t>DIAS_FIS</t>
        </is>
      </c>
      <c r="C16" s="15" t="n">
        <v>160</v>
      </c>
      <c r="D16" s="15" t="n">
        <v>180</v>
      </c>
      <c r="E16" s="15" t="n">
        <v>180</v>
      </c>
      <c r="F16" s="17" t="inlineStr">
        <is>
          <t>EM FALTA.</t>
        </is>
      </c>
    </row>
    <row r="17">
      <c r="A17" s="8" t="inlineStr">
        <is>
          <t>Consultas por dia, por profissional</t>
        </is>
      </c>
      <c r="B17" s="9" t="inlineStr">
        <is>
          <t>CONS_FIS</t>
        </is>
      </c>
      <c r="C17" s="15" t="n">
        <v>4</v>
      </c>
      <c r="D17" s="15" t="n">
        <v>5</v>
      </c>
      <c r="E17" s="15" t="n">
        <v>4</v>
      </c>
      <c r="F17" s="17" t="inlineStr">
        <is>
          <t>EM FALTA.</t>
        </is>
      </c>
    </row>
    <row r="18">
      <c r="A18" s="8" t="inlineStr">
        <is>
          <t>Preço médio por consulta</t>
        </is>
      </c>
      <c r="B18" s="9" t="inlineStr">
        <is>
          <t>PRECO_FIS</t>
        </is>
      </c>
      <c r="C18" s="16" t="n">
        <v>45</v>
      </c>
      <c r="D18" s="16" t="n">
        <v>48</v>
      </c>
      <c r="E18" s="16" t="n">
        <v>50</v>
      </c>
      <c r="F18" s="17" t="inlineStr">
        <is>
          <t>EM FALTA.</t>
        </is>
      </c>
    </row>
    <row r="19">
      <c r="A19" s="2" t="inlineStr">
        <is>
          <t>Capacidade</t>
        </is>
      </c>
      <c r="B19" s="7" t="n"/>
      <c r="C19" s="7" t="n"/>
      <c r="D19" s="7" t="n"/>
      <c r="E19" s="7" t="n"/>
      <c r="F19" s="7" t="n"/>
    </row>
    <row r="20">
      <c r="A20" s="8" t="inlineStr">
        <is>
          <t>Capacidade diária por gabinete (consultas)</t>
        </is>
      </c>
      <c r="B20" s="9" t="inlineStr">
        <is>
          <t>CAP_DIA</t>
        </is>
      </c>
      <c r="C20" s="21">
        <f>$C$8*60/$C$9</f>
        <v/>
      </c>
      <c r="D20" s="21">
        <f>$D$8*60/$D$9</f>
        <v/>
      </c>
      <c r="E20" s="21">
        <f>$E$8*60/$E$9</f>
        <v/>
      </c>
      <c r="F20" s="17" t="inlineStr"/>
    </row>
    <row r="21">
      <c r="A21" s="22" t="inlineStr">
        <is>
          <t>Capacidade anual instalada (consultas)</t>
        </is>
      </c>
      <c r="B21" s="9" t="inlineStr">
        <is>
          <t>CAP_ANO</t>
        </is>
      </c>
      <c r="C21" s="23">
        <f>$C$6*$C$7*$C$20</f>
        <v/>
      </c>
      <c r="D21" s="23">
        <f>$D$6*$D$7*$D$20</f>
        <v/>
      </c>
      <c r="E21" s="23">
        <f>$E$6*$E$7*$E$20</f>
        <v/>
      </c>
      <c r="F21" s="17" t="inlineStr"/>
    </row>
    <row r="22">
      <c r="A22" s="2" t="inlineStr">
        <is>
          <t>Procura projetada</t>
        </is>
      </c>
      <c r="B22" s="7" t="n"/>
      <c r="C22" s="7" t="n"/>
      <c r="D22" s="7" t="n"/>
      <c r="E22" s="7" t="n"/>
      <c r="F22" s="7" t="n"/>
    </row>
    <row r="23">
      <c r="A23" s="8" t="inlineStr">
        <is>
          <t>Consultas anuais da Dra. Júlia</t>
        </is>
      </c>
      <c r="B23" s="9" t="inlineStr">
        <is>
          <t>CONS_JUL_A</t>
        </is>
      </c>
      <c r="C23" s="24">
        <f>$C$11*$C$12</f>
        <v/>
      </c>
      <c r="D23" s="24">
        <f>$D$11*$D$12</f>
        <v/>
      </c>
      <c r="E23" s="24">
        <f>$E$11*$E$12</f>
        <v/>
      </c>
      <c r="F23" s="17" t="inlineStr"/>
    </row>
    <row r="24">
      <c r="A24" s="8" t="inlineStr">
        <is>
          <t>Consultas anuais dos colaboradores</t>
        </is>
      </c>
      <c r="B24" s="9" t="inlineStr">
        <is>
          <t>CONS_FIS_A</t>
        </is>
      </c>
      <c r="C24" s="24">
        <f>$C$15*$C$16*$C$17</f>
        <v/>
      </c>
      <c r="D24" s="24">
        <f>$D$15*$D$16*$D$17</f>
        <v/>
      </c>
      <c r="E24" s="24">
        <f>$E$15*$E$16*$E$17</f>
        <v/>
      </c>
      <c r="F24" s="17" t="inlineStr"/>
    </row>
    <row r="25">
      <c r="A25" s="22" t="inlineStr">
        <is>
          <t>Consultas anuais totais</t>
        </is>
      </c>
      <c r="B25" s="9" t="inlineStr">
        <is>
          <t>CONS_TOT</t>
        </is>
      </c>
      <c r="C25" s="23">
        <f>$C$23+$C$24</f>
        <v/>
      </c>
      <c r="D25" s="23">
        <f>$D$23+$D$24</f>
        <v/>
      </c>
      <c r="E25" s="23">
        <f>$E$23+$E$24</f>
        <v/>
      </c>
      <c r="F25" s="17" t="inlineStr"/>
    </row>
    <row r="26">
      <c r="A26" s="22" t="inlineStr">
        <is>
          <t>TAXA DE UTILIZAÇÃO DOS GABINETES</t>
        </is>
      </c>
      <c r="B26" s="9" t="inlineStr">
        <is>
          <t>UTILIZ</t>
        </is>
      </c>
      <c r="C26" s="25">
        <f>IF($C$21&lt;=0,0,$C$25/$C$21)</f>
        <v/>
      </c>
      <c r="D26" s="25">
        <f>IF($D$21&lt;=0,0,$D$25/$D$21)</f>
        <v/>
      </c>
      <c r="E26" s="25">
        <f>IF($E$21&lt;=0,0,$E$25/$E$21)</f>
        <v/>
      </c>
      <c r="F26" s="17" t="inlineStr">
        <is>
          <t>Acima de 100% a projeção é impossível: não há gabinetes para as consultas previstas. Acima de 85% é operacionalmente muito exigente. Ver folha Alertas.</t>
        </is>
      </c>
    </row>
    <row r="27">
      <c r="A27" s="22" t="inlineStr">
        <is>
          <t>Leitura da utilização</t>
        </is>
      </c>
      <c r="B27" s="9" t="inlineStr">
        <is>
          <t>TESTE_CAP</t>
        </is>
      </c>
      <c r="C27" s="26">
        <f>IF($C$26&gt;1,"IMPOSSÍVEL — a projeção não cabe no espaço",IF($C$26&gt;0.85,"MUITO EXIGENTE — pouca folga operacional",IF($C$26&lt;0.3,"FOLGA ELEVADA — capacidade subaproveitada","PLAUSÍVEL")))</f>
        <v/>
      </c>
      <c r="D27" s="26">
        <f>IF($D$26&gt;1,"IMPOSSÍVEL — a projeção não cabe no espaço",IF($D$26&gt;0.85,"MUITO EXIGENTE — pouca folga operacional",IF($D$26&lt;0.3,"FOLGA ELEVADA — capacidade subaproveitada","PLAUSÍVEL")))</f>
        <v/>
      </c>
      <c r="E27" s="26">
        <f>IF($E$26&gt;1,"IMPOSSÍVEL — a projeção não cabe no espaço",IF($E$26&gt;0.85,"MUITO EXIGENTE — pouca folga operacional",IF($E$26&lt;0.3,"FOLGA ELEVADA — capacidade subaproveitada","PLAUSÍVEL")))</f>
        <v/>
      </c>
      <c r="F27" s="17" t="inlineStr"/>
    </row>
    <row r="28">
      <c r="A28" s="2" t="inlineStr">
        <is>
          <t>Faturação derivada</t>
        </is>
      </c>
      <c r="B28" s="7" t="n"/>
      <c r="C28" s="7" t="n"/>
      <c r="D28" s="7" t="n"/>
      <c r="E28" s="7" t="n"/>
      <c r="F28" s="7" t="n"/>
    </row>
    <row r="29">
      <c r="A29" s="22" t="inlineStr">
        <is>
          <t>Faturação anual da Dra. Júlia</t>
        </is>
      </c>
      <c r="B29" s="9" t="inlineStr">
        <is>
          <t>FAT_JUL</t>
        </is>
      </c>
      <c r="C29" s="27">
        <f>$C$23*$C$13</f>
        <v/>
      </c>
      <c r="D29" s="27">
        <f>$D$23*$D$13</f>
        <v/>
      </c>
      <c r="E29" s="27">
        <f>$E$23*$E$13</f>
        <v/>
      </c>
      <c r="F29" s="17" t="inlineStr"/>
    </row>
    <row r="30">
      <c r="A30" s="22" t="inlineStr">
        <is>
          <t>Faturação anual gerada pelos colaboradores</t>
        </is>
      </c>
      <c r="B30" s="9" t="inlineStr">
        <is>
          <t>FAT_FIS</t>
        </is>
      </c>
      <c r="C30" s="27">
        <f>$C$24*$C$18</f>
        <v/>
      </c>
      <c r="D30" s="27">
        <f>$D$24*$D$18</f>
        <v/>
      </c>
      <c r="E30" s="27">
        <f>$E$24*$E$18</f>
        <v/>
      </c>
      <c r="F30" s="17" t="inlineStr"/>
    </row>
    <row r="31">
      <c r="A31" s="22" t="inlineStr">
        <is>
          <t>Faturação anual total gerada</t>
        </is>
      </c>
      <c r="B31" s="9" t="inlineStr">
        <is>
          <t>FAT_TOT</t>
        </is>
      </c>
      <c r="C31" s="27">
        <f>$C$29+$C$30</f>
        <v/>
      </c>
      <c r="D31" s="27">
        <f>$D$29+$D$30</f>
        <v/>
      </c>
      <c r="E31" s="27">
        <f>$E$29+$E$30</f>
        <v/>
      </c>
      <c r="F31" s="17" t="inlineStr"/>
    </row>
    <row r="32">
      <c r="A32" s="2" t="inlineStr">
        <is>
          <t>Unit economics</t>
        </is>
      </c>
      <c r="B32" s="7" t="n"/>
      <c r="C32" s="7" t="n"/>
      <c r="D32" s="7" t="n"/>
      <c r="E32" s="7" t="n"/>
      <c r="F32" s="7" t="n"/>
    </row>
    <row r="33">
      <c r="A33" s="8" t="inlineStr">
        <is>
          <t>Faturação por gabinete</t>
        </is>
      </c>
      <c r="B33" s="9" t="inlineStr">
        <is>
          <t>FAT_GAB</t>
        </is>
      </c>
      <c r="C33" s="28">
        <f>IF($C$6&lt;=0,0,$C$31/$C$6)</f>
        <v/>
      </c>
      <c r="D33" s="28">
        <f>IF($D$6&lt;=0,0,$D$31/$D$6)</f>
        <v/>
      </c>
      <c r="E33" s="28">
        <f>IF($E$6&lt;=0,0,$E$31/$E$6)</f>
        <v/>
      </c>
      <c r="F33" s="17" t="inlineStr"/>
    </row>
    <row r="34">
      <c r="A34" s="8" t="inlineStr">
        <is>
          <t>Consultas por gabinete</t>
        </is>
      </c>
      <c r="B34" s="9" t="inlineStr">
        <is>
          <t>CONS_GAB</t>
        </is>
      </c>
      <c r="C34" s="24">
        <f>IF($C$6&lt;=0,0,$C$25/$C$6)</f>
        <v/>
      </c>
      <c r="D34" s="24">
        <f>IF($D$6&lt;=0,0,$D$25/$D$6)</f>
        <v/>
      </c>
      <c r="E34" s="24">
        <f>IF($E$6&lt;=0,0,$E$25/$E$6)</f>
        <v/>
      </c>
      <c r="F34" s="17" t="inlineStr"/>
    </row>
    <row r="35">
      <c r="A35" s="8" t="inlineStr">
        <is>
          <t>Faturação por profissional</t>
        </is>
      </c>
      <c r="B35" s="9" t="inlineStr">
        <is>
          <t>FAT_PROF</t>
        </is>
      </c>
      <c r="C35" s="28">
        <f>$C$31/(1+$C$15)</f>
        <v/>
      </c>
      <c r="D35" s="28">
        <f>$D$31/(1+$D$15)</f>
        <v/>
      </c>
      <c r="E35" s="28">
        <f>$E$31/(1+$E$15)</f>
        <v/>
      </c>
      <c r="F35" s="17" t="inlineStr"/>
    </row>
    <row r="36">
      <c r="A36" s="8" t="inlineStr">
        <is>
          <t>Faturação por hora de gabinete disponível</t>
        </is>
      </c>
      <c r="B36" s="9" t="inlineStr">
        <is>
          <t>FAT_HORA</t>
        </is>
      </c>
      <c r="C36" s="29">
        <f>IF($C$6*$C$7*$C$8&lt;=0,0,$C$31/($C$6*$C$7*$C$8))</f>
        <v/>
      </c>
      <c r="D36" s="29">
        <f>IF($D$6*$D$7*$D$8&lt;=0,0,$D$31/($D$6*$D$7*$D$8))</f>
        <v/>
      </c>
      <c r="E36" s="29">
        <f>IF($E$6*$E$7*$E$8&lt;=0,0,$E$31/($E$6*$E$7*$E$8))</f>
        <v/>
      </c>
      <c r="F36" s="17" t="inlineStr">
        <is>
          <t>Indicador de eficiência do espaço, independente da estrutura fiscal.</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4" customWidth="1" min="3" max="3"/>
    <col width="14" customWidth="1" min="4" max="4"/>
    <col width="14" customWidth="1" min="5" max="5"/>
    <col width="52" customWidth="1" min="6" max="6"/>
    <col width="20" customWidth="1" min="7" max="7"/>
    <col width="13" customWidth="1" min="8" max="8"/>
    <col width="11" customWidth="1" min="9" max="9"/>
    <col width="8" customWidth="1" min="10" max="10"/>
  </cols>
  <sheetData>
    <row r="1">
      <c r="A1" s="1" t="inlineStr">
        <is>
          <t>M1 — Inputs (folha única de parâmetros do caso)</t>
        </is>
      </c>
    </row>
    <row r="2" ht="46" customHeight="1">
      <c r="A2" s="20"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4" ht="28" customHeight="1">
      <c r="A4" s="6" t="inlineStr">
        <is>
          <t>Input</t>
        </is>
      </c>
      <c r="B4" s="6" t="inlineStr">
        <is>
          <t>Referência</t>
        </is>
      </c>
      <c r="C4" s="6" t="inlineStr">
        <is>
          <t>Baixo</t>
        </is>
      </c>
      <c r="D4" s="6" t="inlineStr">
        <is>
          <t>Base</t>
        </is>
      </c>
      <c r="E4" s="6" t="inlineStr">
        <is>
          <t>Alto</t>
        </is>
      </c>
      <c r="F4" s="6" t="inlineStr">
        <is>
          <t>Nota / origem</t>
        </is>
      </c>
      <c r="G4" s="6" t="inlineStr">
        <is>
          <t>Tipo</t>
        </is>
      </c>
      <c r="H4" s="6" t="inlineStr">
        <is>
          <t>Fonte</t>
        </is>
      </c>
      <c r="I4" s="6" t="inlineStr">
        <is>
          <t>Confiança</t>
        </is>
      </c>
    </row>
    <row r="5">
      <c r="A5" s="2" t="inlineStr">
        <is>
          <t>Faturação — origem e modelo de colaboração</t>
        </is>
      </c>
      <c r="B5" s="7" t="n"/>
      <c r="C5" s="7" t="n"/>
      <c r="D5" s="7" t="n"/>
      <c r="E5" s="7" t="n"/>
      <c r="F5" s="7" t="n"/>
      <c r="G5" s="7" t="n"/>
      <c r="H5" s="7" t="n"/>
      <c r="I5" s="7" t="n"/>
    </row>
    <row r="6">
      <c r="A6" s="8" t="inlineStr">
        <is>
          <t>ORIGEM DA FATURAÇÃO: 1 = valores manuais · 2 = derivada da capacidade (folha Operacao)</t>
        </is>
      </c>
      <c r="B6" s="9" t="inlineStr">
        <is>
          <t>FONTE_FAT</t>
        </is>
      </c>
      <c r="C6" s="15" t="n">
        <v>2</v>
      </c>
      <c r="D6" s="15" t="n">
        <v>2</v>
      </c>
      <c r="E6" s="15" t="n">
        <v>2</v>
      </c>
      <c r="F6" s="17" t="inlineStr">
        <is>
          <t>ALAVANCA. Em 2, a faturação é uma consequência de gabinetes, dias, duração e preço, e é verificável contra a capacidade instalada. Em 1, é um número que alguém escreveu.</t>
        </is>
      </c>
      <c r="G6" s="30" t="inlineStr">
        <is>
          <t>ESTIMATIVA_VCLEVEL</t>
        </is>
      </c>
      <c r="H6" s="30" t="inlineStr">
        <is>
          <t>VCLevel</t>
        </is>
      </c>
      <c r="I6" s="30" t="inlineStr">
        <is>
          <t>Alta</t>
        </is>
      </c>
      <c r="J6" s="12" t="n">
        <v>0</v>
      </c>
    </row>
    <row r="7">
      <c r="A7" s="8" t="inlineStr">
        <is>
          <t>Faturação anual da Dra. Júlia — valor manual</t>
        </is>
      </c>
      <c r="B7" s="9" t="inlineStr">
        <is>
          <t>FAT_PROP_MAN</t>
        </is>
      </c>
      <c r="C7" s="16" t="n">
        <v>52000</v>
      </c>
      <c r="D7" s="16" t="n">
        <v>65000</v>
      </c>
      <c r="E7" s="16" t="n">
        <v>85000</v>
      </c>
      <c r="F7" s="31" t="inlineStr">
        <is>
          <t>Só usado se FONTE_FAT = 1.</t>
        </is>
      </c>
      <c r="G7" s="32" t="inlineStr">
        <is>
          <t>A_VALIDAR</t>
        </is>
      </c>
      <c r="H7" s="30" t="inlineStr">
        <is>
          <t>cliente</t>
        </is>
      </c>
      <c r="I7" s="30" t="inlineStr">
        <is>
          <t>Baixa</t>
        </is>
      </c>
      <c r="J7" s="12" t="n">
        <v>1</v>
      </c>
    </row>
    <row r="8">
      <c r="A8" s="8" t="inlineStr">
        <is>
          <t>Faturação dos colaboradores — valor manual</t>
        </is>
      </c>
      <c r="B8" s="9" t="inlineStr">
        <is>
          <t>FAT_COLAB_MAN</t>
        </is>
      </c>
      <c r="C8" s="16" t="n">
        <v>18000</v>
      </c>
      <c r="D8" s="16" t="n">
        <v>30000</v>
      </c>
      <c r="E8" s="16" t="n">
        <v>45000</v>
      </c>
      <c r="F8" s="31" t="inlineStr">
        <is>
          <t>Só usado se FONTE_FAT = 1.</t>
        </is>
      </c>
      <c r="G8" s="32" t="inlineStr">
        <is>
          <t>A_VALIDAR</t>
        </is>
      </c>
      <c r="H8" s="30" t="inlineStr">
        <is>
          <t>cliente</t>
        </is>
      </c>
      <c r="I8" s="30" t="inlineStr">
        <is>
          <t>Baixa</t>
        </is>
      </c>
      <c r="J8" s="12" t="n">
        <v>1</v>
      </c>
    </row>
    <row r="9">
      <c r="A9" s="8" t="inlineStr">
        <is>
          <t>Faturação anual da própria Dra. Júlia (isenta, art. 9.º CIVA)</t>
        </is>
      </c>
      <c r="B9" s="9" t="inlineStr">
        <is>
          <t>FAT_PROP</t>
        </is>
      </c>
      <c r="C9" s="28">
        <f>IF(Inputs!$C$6=1,Inputs!$C$7,Operacao!$C$29)</f>
        <v/>
      </c>
      <c r="D9" s="28">
        <f>IF(Inputs!$D$6=1,Inputs!$D$7,Operacao!$D$29)</f>
        <v/>
      </c>
      <c r="E9" s="28">
        <f>IF(Inputs!$E$6=1,Inputs!$E$7,Operacao!$E$29)</f>
        <v/>
      </c>
      <c r="F9" s="17" t="inlineStr">
        <is>
          <t>Doentes próprios, independentemente do modelo de colaboração.</t>
        </is>
      </c>
      <c r="G9" s="30" t="inlineStr">
        <is>
          <t>DERIVADO</t>
        </is>
      </c>
      <c r="H9" s="30" t="inlineStr">
        <is>
          <t>modelo</t>
        </is>
      </c>
      <c r="I9" s="30" t="inlineStr">
        <is>
          <t>n/a</t>
        </is>
      </c>
      <c r="J9" s="12" t="n">
        <v>0</v>
      </c>
    </row>
    <row r="10">
      <c r="A10" s="8" t="inlineStr">
        <is>
          <t>Faturação anual gerada pelos fisioterapeutas a integrar</t>
        </is>
      </c>
      <c r="B10" s="9" t="inlineStr">
        <is>
          <t>FAT_COLAB</t>
        </is>
      </c>
      <c r="C10" s="28">
        <f>IF(Inputs!$C$6=1,Inputs!$C$8,Operacao!$C$30)</f>
        <v/>
      </c>
      <c r="D10" s="28">
        <f>IF(Inputs!$D$6=1,Inputs!$D$8,Operacao!$D$30)</f>
        <v/>
      </c>
      <c r="E10" s="28">
        <f>IF(Inputs!$E$6=1,Inputs!$E$8,Operacao!$E$30)</f>
        <v/>
      </c>
      <c r="F10" s="17" t="inlineStr">
        <is>
          <t>No modelo 1 é faturada pela clínica; no modelo 2 é faturada diretamente pelos profissionais e nunca passa pela clínica.</t>
        </is>
      </c>
      <c r="G10" s="30" t="inlineStr">
        <is>
          <t>DERIVADO</t>
        </is>
      </c>
      <c r="H10" s="30" t="inlineStr">
        <is>
          <t>modelo</t>
        </is>
      </c>
      <c r="I10" s="30" t="inlineStr">
        <is>
          <t>n/a</t>
        </is>
      </c>
      <c r="J10" s="12" t="n">
        <v>0</v>
      </c>
    </row>
    <row r="11">
      <c r="A11" s="8" t="inlineStr">
        <is>
          <t>MODELO DE COLABORAÇÃO: 1 = prestação de serviços · 2 = cedência de sala</t>
        </is>
      </c>
      <c r="B11" s="9" t="inlineStr">
        <is>
          <t>MOD_COLAB</t>
        </is>
      </c>
      <c r="C11" s="15" t="n">
        <v>1</v>
      </c>
      <c r="D11" s="15" t="n">
        <v>1</v>
      </c>
      <c r="E11" s="15" t="n">
        <v>1</v>
      </c>
      <c r="F11" s="31" t="inlineStr">
        <is>
          <t>ALAVANCA. Ata, ponto 4. Alterna toda a estrutura de receita e custo. Sustenta a exposição E2.6. AVISO: a qualificação jurídica e fiscal depende da configuração contratual e operacional concreta, não do nome comercial do modelo. Ver N1-04 e R1-31.</t>
        </is>
      </c>
      <c r="G11" s="32" t="inlineStr">
        <is>
          <t>A_VALIDAR</t>
        </is>
      </c>
      <c r="H11" s="30" t="inlineStr">
        <is>
          <t>cliente</t>
        </is>
      </c>
      <c r="I11" s="30" t="inlineStr">
        <is>
          <t>Baixa</t>
        </is>
      </c>
      <c r="J11" s="12" t="n">
        <v>1</v>
      </c>
    </row>
    <row r="12">
      <c r="A12" s="8" t="inlineStr">
        <is>
          <t>Modelo 1 — honorários em % da faturação que o colaborador gera</t>
        </is>
      </c>
      <c r="B12" s="9" t="inlineStr">
        <is>
          <t>PCT_HONOR</t>
        </is>
      </c>
      <c r="C12" s="13" t="n">
        <v>0.7</v>
      </c>
      <c r="D12" s="13" t="n">
        <v>0.7</v>
      </c>
      <c r="E12" s="13" t="n">
        <v>0.7</v>
      </c>
      <c r="F12" s="31" t="inlineStr">
        <is>
          <t>Input cliente 5 — EM FALTA. Variável de sensibilidade: é o que separa faturação de margem.</t>
        </is>
      </c>
      <c r="G12" s="32" t="inlineStr">
        <is>
          <t>A_VALIDAR</t>
        </is>
      </c>
      <c r="H12" s="30" t="inlineStr">
        <is>
          <t>cliente</t>
        </is>
      </c>
      <c r="I12" s="30" t="inlineStr">
        <is>
          <t>Baixa</t>
        </is>
      </c>
      <c r="J12" s="12" t="n">
        <v>1</v>
      </c>
    </row>
    <row r="13">
      <c r="A13" s="8" t="inlineStr">
        <is>
          <t>Modelo 1 — honorários anuais a pagar aos fisioterapeutas</t>
        </is>
      </c>
      <c r="B13" s="9" t="inlineStr">
        <is>
          <t>HONOR</t>
        </is>
      </c>
      <c r="C13" s="28">
        <f>Inputs!$C$10*Inputs!$C$12</f>
        <v/>
      </c>
      <c r="D13" s="28">
        <f>Inputs!$D$10*Inputs!$D$12</f>
        <v/>
      </c>
      <c r="E13" s="28">
        <f>Inputs!$E$10*Inputs!$E$12</f>
        <v/>
      </c>
      <c r="F13" s="17" t="inlineStr">
        <is>
          <t>Ignorado no modelo 2.</t>
        </is>
      </c>
      <c r="G13" s="30" t="inlineStr">
        <is>
          <t>DERIVADO</t>
        </is>
      </c>
      <c r="H13" s="30" t="inlineStr">
        <is>
          <t>modelo</t>
        </is>
      </c>
      <c r="I13" s="30" t="inlineStr">
        <is>
          <t>n/a</t>
        </is>
      </c>
      <c r="J13" s="12" t="n">
        <v>0</v>
      </c>
    </row>
    <row r="14">
      <c r="A14" s="8" t="inlineStr">
        <is>
          <t>Modelo 2 — renda em % da faturação que o colaborador gera</t>
        </is>
      </c>
      <c r="B14" s="9" t="inlineStr">
        <is>
          <t>PCT_SALA</t>
        </is>
      </c>
      <c r="C14" s="13" t="n">
        <v>0.3</v>
      </c>
      <c r="D14" s="13" t="n">
        <v>0.3</v>
      </c>
      <c r="E14" s="13" t="n">
        <v>0.3</v>
      </c>
      <c r="F14" s="31" t="inlineStr">
        <is>
          <t>Input cliente 5 — EM FALTA. Se a renda for fixa e não percentual, introduzir o valor equivalente.</t>
        </is>
      </c>
      <c r="G14" s="32" t="inlineStr">
        <is>
          <t>A_VALIDAR</t>
        </is>
      </c>
      <c r="H14" s="30" t="inlineStr">
        <is>
          <t>cliente</t>
        </is>
      </c>
      <c r="I14" s="30" t="inlineStr">
        <is>
          <t>Baixa</t>
        </is>
      </c>
      <c r="J14" s="12" t="n">
        <v>1</v>
      </c>
    </row>
    <row r="15">
      <c r="A15" s="8" t="inlineStr">
        <is>
          <t>Modelo 2 — receita anual de cedência de sala</t>
        </is>
      </c>
      <c r="B15" s="9" t="inlineStr">
        <is>
          <t>REC_SALA</t>
        </is>
      </c>
      <c r="C15" s="28">
        <f>Inputs!$C$10*Inputs!$C$14</f>
        <v/>
      </c>
      <c r="D15" s="28">
        <f>Inputs!$D$10*Inputs!$D$14</f>
        <v/>
      </c>
      <c r="E15" s="28">
        <f>Inputs!$E$10*Inputs!$E$14</f>
        <v/>
      </c>
      <c r="F15" s="17" t="inlineStr">
        <is>
          <t>Ignorado no modelo 1.</t>
        </is>
      </c>
      <c r="G15" s="30" t="inlineStr">
        <is>
          <t>DERIVADO</t>
        </is>
      </c>
      <c r="H15" s="30" t="inlineStr">
        <is>
          <t>modelo</t>
        </is>
      </c>
      <c r="I15" s="30" t="inlineStr">
        <is>
          <t>n/a</t>
        </is>
      </c>
      <c r="J15" s="12" t="n">
        <v>0</v>
      </c>
    </row>
    <row r="16">
      <c r="A16" s="8" t="inlineStr">
        <is>
          <t>Cedência de sala sujeita a IVA? (1 = sim / 0 = arrendamento isento)</t>
        </is>
      </c>
      <c r="B16" s="9" t="inlineStr">
        <is>
          <t>SALA_TRIB</t>
        </is>
      </c>
      <c r="C16" s="15" t="n">
        <v>0</v>
      </c>
      <c r="D16" s="15" t="n">
        <v>0</v>
      </c>
      <c r="E16" s="15" t="n">
        <v>0</v>
      </c>
      <c r="F16" s="31" t="inlineStr">
        <is>
          <t>Depende de N1-04: arrendamento isento (art. 9.º n.º 29 CIVA) ou prestação de serviços com disponibilização de meios, tributada. Não está resolvido.</t>
        </is>
      </c>
      <c r="G16" s="32" t="inlineStr">
        <is>
          <t>A_VALIDAR</t>
        </is>
      </c>
      <c r="H16" s="30" t="inlineStr">
        <is>
          <t>legislação</t>
        </is>
      </c>
      <c r="I16" s="30" t="inlineStr">
        <is>
          <t>Baixa</t>
        </is>
      </c>
      <c r="J16" s="12" t="n">
        <v>1</v>
      </c>
    </row>
    <row r="17">
      <c r="A17" s="8" t="inlineStr">
        <is>
          <t>Faturação anual sujeita a IVA dentro da sociedade (atividade do cônjuge)</t>
        </is>
      </c>
      <c r="B17" s="9" t="inlineStr">
        <is>
          <t>FAT_TRIB</t>
        </is>
      </c>
      <c r="C17" s="16" t="n">
        <v>0</v>
      </c>
      <c r="D17" s="16" t="n">
        <v>0</v>
      </c>
      <c r="E17" s="16" t="n">
        <v>0</v>
      </c>
      <c r="F17" s="31" t="inlineStr">
        <is>
          <t>Input cliente 6 — EM FALTA. Só relevante na via 4 e no cenário de sujeito passivo misto.</t>
        </is>
      </c>
      <c r="G17" s="32" t="inlineStr">
        <is>
          <t>A_VALIDAR</t>
        </is>
      </c>
      <c r="H17" s="30" t="inlineStr">
        <is>
          <t>cliente</t>
        </is>
      </c>
      <c r="I17" s="30" t="inlineStr">
        <is>
          <t>Baixa</t>
        </is>
      </c>
      <c r="J17" s="12" t="n">
        <v>1</v>
      </c>
    </row>
    <row r="18">
      <c r="A18" s="2" t="inlineStr">
        <is>
          <t>Custos operacionais anuais</t>
        </is>
      </c>
      <c r="B18" s="7" t="n"/>
      <c r="C18" s="7" t="n"/>
      <c r="D18" s="7" t="n"/>
      <c r="E18" s="7" t="n"/>
      <c r="F18" s="7" t="n"/>
      <c r="G18" s="7" t="n"/>
      <c r="H18" s="7" t="n"/>
      <c r="I18" s="7" t="n"/>
    </row>
    <row r="19">
      <c r="A19" s="8" t="inlineStr">
        <is>
          <t>Renda do espaço</t>
        </is>
      </c>
      <c r="B19" s="9" t="inlineStr">
        <is>
          <t>RENDA</t>
        </is>
      </c>
      <c r="C19" s="16" t="n">
        <v>12000</v>
      </c>
      <c r="D19" s="16" t="n">
        <v>14400</v>
      </c>
      <c r="E19" s="16" t="n">
        <v>18000</v>
      </c>
      <c r="F19" s="31" t="inlineStr">
        <is>
          <t>Input cliente 3 — EM FALTA. Baixo/Base = 2 gabinetes; Alto = 3 gabinetes.</t>
        </is>
      </c>
      <c r="G19" s="32" t="inlineStr">
        <is>
          <t>A_VALIDAR</t>
        </is>
      </c>
      <c r="H19" s="30" t="inlineStr">
        <is>
          <t>contrato</t>
        </is>
      </c>
      <c r="I19" s="30" t="inlineStr">
        <is>
          <t>Baixa</t>
        </is>
      </c>
      <c r="J19" s="12" t="n">
        <v>1</v>
      </c>
    </row>
    <row r="20">
      <c r="A20" s="8" t="inlineStr">
        <is>
          <t>Condomínio e encargos do espaço</t>
        </is>
      </c>
      <c r="B20" s="9" t="inlineStr">
        <is>
          <t>CONDOM</t>
        </is>
      </c>
      <c r="C20" s="16" t="n">
        <v>1200</v>
      </c>
      <c r="D20" s="16" t="n">
        <v>1500</v>
      </c>
      <c r="E20" s="16" t="n">
        <v>1800</v>
      </c>
      <c r="F20" s="31" t="inlineStr">
        <is>
          <t>Input cliente 3 — EM FALTA.</t>
        </is>
      </c>
      <c r="G20" s="32" t="inlineStr">
        <is>
          <t>A_VALIDAR</t>
        </is>
      </c>
      <c r="H20" s="30" t="inlineStr">
        <is>
          <t>contrato</t>
        </is>
      </c>
      <c r="I20" s="30" t="inlineStr">
        <is>
          <t>Baixa</t>
        </is>
      </c>
      <c r="J20" s="12" t="n">
        <v>1</v>
      </c>
    </row>
    <row r="21">
      <c r="A21" s="8" t="inlineStr">
        <is>
          <t>Seguros (RC profissional, multirriscos)</t>
        </is>
      </c>
      <c r="B21" s="9" t="inlineStr">
        <is>
          <t>SEGUROS</t>
        </is>
      </c>
      <c r="C21" s="16" t="n">
        <v>900</v>
      </c>
      <c r="D21" s="16" t="n">
        <v>1100</v>
      </c>
      <c r="E21" s="16" t="n">
        <v>1400</v>
      </c>
      <c r="F21" s="17" t="inlineStr">
        <is>
          <t>EM FALTA.</t>
        </is>
      </c>
      <c r="G21" s="30" t="inlineStr">
        <is>
          <t>ESTIMATIVA_VCLEVEL</t>
        </is>
      </c>
      <c r="H21" s="30" t="inlineStr">
        <is>
          <t>VCLevel</t>
        </is>
      </c>
      <c r="I21" s="30" t="inlineStr">
        <is>
          <t>Baixa</t>
        </is>
      </c>
      <c r="J21" s="12" t="n">
        <v>0</v>
      </c>
    </row>
    <row r="22">
      <c r="A22" s="8" t="inlineStr">
        <is>
          <t>Software de gestão e faturação</t>
        </is>
      </c>
      <c r="B22" s="9" t="inlineStr">
        <is>
          <t>SOFTW</t>
        </is>
      </c>
      <c r="C22" s="16" t="n">
        <v>600</v>
      </c>
      <c r="D22" s="16" t="n">
        <v>900</v>
      </c>
      <c r="E22" s="16" t="n">
        <v>1200</v>
      </c>
      <c r="F22" s="17" t="inlineStr">
        <is>
          <t>EM FALTA.</t>
        </is>
      </c>
      <c r="G22" s="30" t="inlineStr">
        <is>
          <t>ESTIMATIVA_VCLEVEL</t>
        </is>
      </c>
      <c r="H22" s="30" t="inlineStr">
        <is>
          <t>VCLevel</t>
        </is>
      </c>
      <c r="I22" s="30" t="inlineStr">
        <is>
          <t>Baixa</t>
        </is>
      </c>
      <c r="J22" s="12" t="n">
        <v>0</v>
      </c>
    </row>
    <row r="23">
      <c r="A23" s="8" t="inlineStr">
        <is>
          <t>Consumíveis clínicos, em % da faturação da estrutura</t>
        </is>
      </c>
      <c r="B23" s="9" t="inlineStr">
        <is>
          <t>PCT_CONSUM</t>
        </is>
      </c>
      <c r="C23" s="13" t="n">
        <v>0.03</v>
      </c>
      <c r="D23" s="13" t="n">
        <v>0.03</v>
      </c>
      <c r="E23" s="13" t="n">
        <v>0.03</v>
      </c>
      <c r="F23" s="17" t="inlineStr">
        <is>
          <t>EM FALTA. Modelado como custo variável, o que é necessário para o break-even operacional.</t>
        </is>
      </c>
      <c r="G23" s="30" t="inlineStr">
        <is>
          <t>ESTIMATIVA_VCLEVEL</t>
        </is>
      </c>
      <c r="H23" s="30" t="inlineStr">
        <is>
          <t>benchmark</t>
        </is>
      </c>
      <c r="I23" s="30" t="inlineStr">
        <is>
          <t>Média</t>
        </is>
      </c>
      <c r="J23" s="12" t="n">
        <v>0</v>
      </c>
    </row>
    <row r="24">
      <c r="A24" s="8" t="inlineStr">
        <is>
          <t>Consumíveis clínicos</t>
        </is>
      </c>
      <c r="B24" s="9" t="inlineStr">
        <is>
          <t>CONSUM</t>
        </is>
      </c>
      <c r="C24" s="28">
        <f>(Inputs!$C$9+IF(Inputs!$C$11=1,Inputs!$C$10,0))*Inputs!$C$23</f>
        <v/>
      </c>
      <c r="D24" s="28">
        <f>(Inputs!$D$9+IF(Inputs!$D$11=1,Inputs!$D$10,0))*Inputs!$D$23</f>
        <v/>
      </c>
      <c r="E24" s="28">
        <f>(Inputs!$E$9+IF(Inputs!$E$11=1,Inputs!$E$10,0))*Inputs!$E$23</f>
        <v/>
      </c>
      <c r="F24" s="17" t="inlineStr">
        <is>
          <t>Custo variável: acompanha as consultas realizadas dentro da estrutura.</t>
        </is>
      </c>
      <c r="G24" s="30" t="inlineStr">
        <is>
          <t>DERIVADO</t>
        </is>
      </c>
      <c r="H24" s="30" t="inlineStr">
        <is>
          <t>modelo</t>
        </is>
      </c>
      <c r="I24" s="30" t="inlineStr">
        <is>
          <t>n/a</t>
        </is>
      </c>
      <c r="J24" s="12" t="n">
        <v>0</v>
      </c>
    </row>
    <row r="25">
      <c r="A25" s="8" t="inlineStr">
        <is>
          <t>Outros custos operacionais</t>
        </is>
      </c>
      <c r="B25" s="9" t="inlineStr">
        <is>
          <t>OUTROS</t>
        </is>
      </c>
      <c r="C25" s="16" t="n">
        <v>1500</v>
      </c>
      <c r="D25" s="16" t="n">
        <v>2000</v>
      </c>
      <c r="E25" s="16" t="n">
        <v>2500</v>
      </c>
      <c r="F25" s="17" t="inlineStr">
        <is>
          <t>EM FALTA.</t>
        </is>
      </c>
      <c r="G25" s="30" t="inlineStr">
        <is>
          <t>ESTIMATIVA_VCLEVEL</t>
        </is>
      </c>
      <c r="H25" s="30" t="inlineStr">
        <is>
          <t>VCLevel</t>
        </is>
      </c>
      <c r="I25" s="30" t="inlineStr">
        <is>
          <t>Baixa</t>
        </is>
      </c>
      <c r="J25" s="12" t="n">
        <v>0</v>
      </c>
    </row>
    <row r="26">
      <c r="A26" s="2" t="inlineStr">
        <is>
          <t>Investimento inicial (valores sem IVA)</t>
        </is>
      </c>
      <c r="B26" s="7" t="n"/>
      <c r="C26" s="7" t="n"/>
      <c r="D26" s="7" t="n"/>
      <c r="E26" s="7" t="n"/>
      <c r="F26" s="7" t="n"/>
      <c r="G26" s="7" t="n"/>
      <c r="H26" s="7" t="n"/>
      <c r="I26" s="7" t="n"/>
    </row>
    <row r="27">
      <c r="A27" s="8" t="inlineStr">
        <is>
          <t>Obras e adaptação do espaço</t>
        </is>
      </c>
      <c r="B27" s="9" t="inlineStr">
        <is>
          <t>INV_OBRAS</t>
        </is>
      </c>
      <c r="C27" s="16" t="n">
        <v>15000</v>
      </c>
      <c r="D27" s="16" t="n">
        <v>25000</v>
      </c>
      <c r="E27" s="16" t="n">
        <v>40000</v>
      </c>
      <c r="F27" s="31" t="inlineStr">
        <is>
          <t>Input cliente 4 — EM FALTA.</t>
        </is>
      </c>
      <c r="G27" s="32" t="inlineStr">
        <is>
          <t>A_VALIDAR</t>
        </is>
      </c>
      <c r="H27" s="30" t="inlineStr">
        <is>
          <t>orçamento</t>
        </is>
      </c>
      <c r="I27" s="30" t="inlineStr">
        <is>
          <t>Baixa</t>
        </is>
      </c>
      <c r="J27" s="12" t="n">
        <v>1</v>
      </c>
    </row>
    <row r="28">
      <c r="A28" s="8" t="inlineStr">
        <is>
          <t>Equipamento clínico à taxa normal</t>
        </is>
      </c>
      <c r="B28" s="9" t="inlineStr">
        <is>
          <t>INV_EQUIP</t>
        </is>
      </c>
      <c r="C28" s="16" t="n">
        <v>12000</v>
      </c>
      <c r="D28" s="16" t="n">
        <v>20000</v>
      </c>
      <c r="E28" s="16" t="n">
        <v>30000</v>
      </c>
      <c r="F28" s="31" t="inlineStr">
        <is>
          <t>Input cliente 4 — EM FALTA.</t>
        </is>
      </c>
      <c r="G28" s="32" t="inlineStr">
        <is>
          <t>A_VALIDAR</t>
        </is>
      </c>
      <c r="H28" s="30" t="inlineStr">
        <is>
          <t>orçamento</t>
        </is>
      </c>
      <c r="I28" s="30" t="inlineStr">
        <is>
          <t>Baixa</t>
        </is>
      </c>
      <c r="J28" s="12" t="n">
        <v>1</v>
      </c>
    </row>
    <row r="29">
      <c r="A29" s="8" t="inlineStr">
        <is>
          <t>Equipamento clínico elegível para taxa reduzida</t>
        </is>
      </c>
      <c r="B29" s="9" t="inlineStr">
        <is>
          <t>INV_EQUIP_R</t>
        </is>
      </c>
      <c r="C29" s="16" t="n">
        <v>0</v>
      </c>
      <c r="D29" s="16" t="n">
        <v>0</v>
      </c>
      <c r="E29" s="16" t="n">
        <v>0</v>
      </c>
      <c r="F29" s="31" t="inlineStr">
        <is>
          <t>A confirmar contra as verbas 2.5 e 2.6 da Lista I do CIVA. Se houver elegibilidade, reduz a base do problema de IVA.</t>
        </is>
      </c>
      <c r="G29" s="32" t="inlineStr">
        <is>
          <t>A_VALIDAR</t>
        </is>
      </c>
      <c r="H29" s="30" t="inlineStr">
        <is>
          <t>legislação</t>
        </is>
      </c>
      <c r="I29" s="30" t="inlineStr">
        <is>
          <t>Baixa</t>
        </is>
      </c>
      <c r="J29" s="12" t="n">
        <v>1</v>
      </c>
    </row>
    <row r="30">
      <c r="A30" s="8" t="inlineStr">
        <is>
          <t>Software e sistemas</t>
        </is>
      </c>
      <c r="B30" s="9" t="inlineStr">
        <is>
          <t>INV_SOFT</t>
        </is>
      </c>
      <c r="C30" s="16" t="n">
        <v>1500</v>
      </c>
      <c r="D30" s="16" t="n">
        <v>2000</v>
      </c>
      <c r="E30" s="16" t="n">
        <v>3000</v>
      </c>
      <c r="F30" s="31" t="inlineStr">
        <is>
          <t>EM FALTA.</t>
        </is>
      </c>
      <c r="G30" s="32" t="inlineStr">
        <is>
          <t>A_VALIDAR</t>
        </is>
      </c>
      <c r="H30" s="30" t="inlineStr">
        <is>
          <t>orçamento</t>
        </is>
      </c>
      <c r="I30" s="30" t="inlineStr">
        <is>
          <t>Baixa</t>
        </is>
      </c>
      <c r="J30" s="12" t="n">
        <v>1</v>
      </c>
    </row>
    <row r="31">
      <c r="A31" s="2" t="inlineStr">
        <is>
          <t>Vias societárias (3 e 4)</t>
        </is>
      </c>
      <c r="B31" s="7" t="n"/>
      <c r="C31" s="7" t="n"/>
      <c r="D31" s="7" t="n"/>
      <c r="E31" s="7" t="n"/>
      <c r="F31" s="7" t="n"/>
      <c r="G31" s="7" t="n"/>
      <c r="H31" s="7" t="n"/>
      <c r="I31" s="7" t="n"/>
    </row>
    <row r="32">
      <c r="A32" s="8" t="inlineStr">
        <is>
          <t>Remuneração anual bruta de gerência</t>
        </is>
      </c>
      <c r="B32" s="9" t="inlineStr">
        <is>
          <t>REM_GER</t>
        </is>
      </c>
      <c r="C32" s="16" t="n">
        <v>14000</v>
      </c>
      <c r="D32" s="16" t="n">
        <v>16800</v>
      </c>
      <c r="E32" s="16" t="n">
        <v>20000</v>
      </c>
      <c r="F32" s="17" t="inlineStr">
        <is>
          <t>Variável de decisão, não dado da cliente. Testar sensibilidade.</t>
        </is>
      </c>
      <c r="G32" s="30" t="inlineStr">
        <is>
          <t>ESTIMATIVA_VCLEVEL</t>
        </is>
      </c>
      <c r="H32" s="30" t="inlineStr">
        <is>
          <t>VCLevel</t>
        </is>
      </c>
      <c r="I32" s="30" t="inlineStr">
        <is>
          <t>Média</t>
        </is>
      </c>
      <c r="J32" s="12" t="n">
        <v>0</v>
      </c>
    </row>
    <row r="33">
      <c r="A33" s="8" t="inlineStr">
        <is>
          <t>Tributações autónomas estimadas (anual)</t>
        </is>
      </c>
      <c r="B33" s="9" t="inlineStr">
        <is>
          <t>TA_EST</t>
        </is>
      </c>
      <c r="C33" s="16" t="n">
        <v>500</v>
      </c>
      <c r="D33" s="16" t="n">
        <v>800</v>
      </c>
      <c r="E33" s="16" t="n">
        <v>1200</v>
      </c>
      <c r="F33" s="17" t="inlineStr">
        <is>
          <t>A quantificar pela Fiscalidade em função de viatura e despesas de representação.</t>
        </is>
      </c>
      <c r="G33" s="30" t="inlineStr">
        <is>
          <t>ESTIMATIVA_VCLEVEL</t>
        </is>
      </c>
      <c r="H33" s="30" t="inlineStr">
        <is>
          <t>VCLevel</t>
        </is>
      </c>
      <c r="I33" s="30" t="inlineStr">
        <is>
          <t>Baixa</t>
        </is>
      </c>
      <c r="J33" s="12" t="n">
        <v>0</v>
      </c>
    </row>
    <row r="34">
      <c r="A34" s="8" t="inlineStr">
        <is>
          <t>Política de distribuição de resultados (% do lucro após imposto)</t>
        </is>
      </c>
      <c r="B34" s="9" t="inlineStr">
        <is>
          <t>POL_DIST</t>
        </is>
      </c>
      <c r="C34" s="13" t="n">
        <v>1</v>
      </c>
      <c r="D34" s="13" t="n">
        <v>1</v>
      </c>
      <c r="E34" s="13" t="n">
        <v>1</v>
      </c>
      <c r="F34" s="31" t="inlineStr">
        <is>
          <t>ALAVANCA. Testar 0% / 50% / 100% — é aqui que se decide se afastar a transparência compensa.</t>
        </is>
      </c>
      <c r="G34" s="32" t="inlineStr">
        <is>
          <t>A_VALIDAR</t>
        </is>
      </c>
      <c r="H34" s="30" t="inlineStr">
        <is>
          <t>cliente</t>
        </is>
      </c>
      <c r="I34" s="30" t="inlineStr">
        <is>
          <t>Baixa</t>
        </is>
      </c>
      <c r="J34" s="12" t="n">
        <v>1</v>
      </c>
    </row>
    <row r="35">
      <c r="A35" s="8" t="inlineStr">
        <is>
          <t>% do capital social detida pelo cônjuge</t>
        </is>
      </c>
      <c r="B35" s="9" t="inlineStr">
        <is>
          <t>PCT_CONJ</t>
        </is>
      </c>
      <c r="C35" s="13" t="n">
        <v>0.26</v>
      </c>
      <c r="D35" s="13" t="n">
        <v>0.26</v>
      </c>
      <c r="E35" s="13" t="n">
        <v>0.26</v>
      </c>
      <c r="F35" s="17" t="inlineStr">
        <is>
          <t>Só via 4. Tem de exceder 25% para afastar o teste de capital do art. 6.º n.º 4 al. b) ii) CIRC. Ver N1.</t>
        </is>
      </c>
      <c r="G35" s="30" t="inlineStr">
        <is>
          <t>ESTIMATIVA_VCLEVEL</t>
        </is>
      </c>
      <c r="H35" s="30" t="inlineStr">
        <is>
          <t>VCLevel</t>
        </is>
      </c>
      <c r="I35" s="30" t="inlineStr">
        <is>
          <t>Média</t>
        </is>
      </c>
      <c r="J35" s="12" t="n">
        <v>0</v>
      </c>
    </row>
    <row r="36">
      <c r="A36" s="2" t="inlineStr">
        <is>
          <t>Agregado familiar (IRS)</t>
        </is>
      </c>
      <c r="B36" s="7" t="n"/>
      <c r="C36" s="7" t="n"/>
      <c r="D36" s="7" t="n"/>
      <c r="E36" s="7" t="n"/>
      <c r="F36" s="7" t="n"/>
      <c r="G36" s="7" t="n"/>
      <c r="H36" s="7" t="n"/>
      <c r="I36" s="7" t="n"/>
    </row>
    <row r="37">
      <c r="A37" s="8" t="inlineStr">
        <is>
          <t>Rendimento anual do cônjuge fora da estrutura (líquido de deduções específicas)</t>
        </is>
      </c>
      <c r="B37" s="9" t="inlineStr">
        <is>
          <t>REND_CONJ</t>
        </is>
      </c>
      <c r="C37" s="16" t="n">
        <v>14000</v>
      </c>
      <c r="D37" s="16" t="n">
        <v>18000</v>
      </c>
      <c r="E37" s="16" t="n">
        <v>22000</v>
      </c>
      <c r="F37" s="31" t="inlineStr">
        <is>
          <t>Input cliente 6 e 7 — EM FALTA.</t>
        </is>
      </c>
      <c r="G37" s="32" t="inlineStr">
        <is>
          <t>A_VALIDAR</t>
        </is>
      </c>
      <c r="H37" s="30" t="inlineStr">
        <is>
          <t>cliente</t>
        </is>
      </c>
      <c r="I37" s="30" t="inlineStr">
        <is>
          <t>Baixa</t>
        </is>
      </c>
      <c r="J37" s="12" t="n">
        <v>1</v>
      </c>
    </row>
    <row r="38">
      <c r="A38" s="8" t="inlineStr">
        <is>
          <t>Opção por tributação conjunta (1 = sim / 0 = não)</t>
        </is>
      </c>
      <c r="B38" s="9" t="inlineStr">
        <is>
          <t>CONJUNTA</t>
        </is>
      </c>
      <c r="C38" s="15" t="n">
        <v>1</v>
      </c>
      <c r="D38" s="15" t="n">
        <v>1</v>
      </c>
      <c r="E38" s="15" t="n">
        <v>1</v>
      </c>
      <c r="F38" s="31" t="inlineStr">
        <is>
          <t>Input cliente 7 — EM FALTA.</t>
        </is>
      </c>
      <c r="G38" s="32" t="inlineStr">
        <is>
          <t>A_VALIDAR</t>
        </is>
      </c>
      <c r="H38" s="30" t="inlineStr">
        <is>
          <t>cliente</t>
        </is>
      </c>
      <c r="I38" s="30" t="inlineStr">
        <is>
          <t>Baixa</t>
        </is>
      </c>
      <c r="J38" s="12" t="n">
        <v>1</v>
      </c>
    </row>
    <row r="39">
      <c r="A39" s="8" t="inlineStr">
        <is>
          <t>N.º de dependentes</t>
        </is>
      </c>
      <c r="B39" s="9" t="inlineStr">
        <is>
          <t>N_DEP</t>
        </is>
      </c>
      <c r="C39" s="15" t="n">
        <v>0</v>
      </c>
      <c r="D39" s="15" t="n">
        <v>0</v>
      </c>
      <c r="E39" s="15" t="n">
        <v>0</v>
      </c>
      <c r="F39" s="31" t="inlineStr">
        <is>
          <t>Input cliente 7 — EM FALTA.</t>
        </is>
      </c>
      <c r="G39" s="32" t="inlineStr">
        <is>
          <t>A_VALIDAR</t>
        </is>
      </c>
      <c r="H39" s="30" t="inlineStr">
        <is>
          <t>cliente</t>
        </is>
      </c>
      <c r="I39" s="30" t="inlineStr">
        <is>
          <t>Baixa</t>
        </is>
      </c>
      <c r="J39" s="12" t="n">
        <v>1</v>
      </c>
    </row>
    <row r="40">
      <c r="A40" s="8" t="inlineStr">
        <is>
          <t>Deduções à coleta estimadas do agregado</t>
        </is>
      </c>
      <c r="B40" s="9" t="inlineStr">
        <is>
          <t>DED_COL</t>
        </is>
      </c>
      <c r="C40" s="16" t="n">
        <v>500</v>
      </c>
      <c r="D40" s="16" t="n">
        <v>500</v>
      </c>
      <c r="E40" s="16" t="n">
        <v>500</v>
      </c>
      <c r="F40" s="17" t="inlineStr">
        <is>
          <t>EM FALTA. Não afeta a comparação entre vias (cancela-se no diferencial), afeta o IRS total.</t>
        </is>
      </c>
      <c r="G40" s="30" t="inlineStr">
        <is>
          <t>ESTIMATIVA_VCLEVEL</t>
        </is>
      </c>
      <c r="H40" s="30" t="inlineStr">
        <is>
          <t>VCLevel</t>
        </is>
      </c>
      <c r="I40" s="30" t="inlineStr">
        <is>
          <t>Baixa</t>
        </is>
      </c>
      <c r="J40" s="12" t="n">
        <v>0</v>
      </c>
    </row>
    <row r="41">
      <c r="A41" s="2" t="inlineStr">
        <is>
          <t>Derivadas — não preencher, calculam-se a partir do modelo de colaboração</t>
        </is>
      </c>
      <c r="B41" s="7" t="n"/>
      <c r="C41" s="7" t="n"/>
      <c r="D41" s="7" t="n"/>
      <c r="E41" s="7" t="n"/>
      <c r="F41" s="7" t="n"/>
    </row>
    <row r="42">
      <c r="A42" s="8" t="inlineStr">
        <is>
          <t>Faturação isenta faturada pela estrutura</t>
        </is>
      </c>
      <c r="B42" s="9" t="inlineStr">
        <is>
          <t>FAT_ISENTA</t>
        </is>
      </c>
      <c r="C42" s="28">
        <f>Inputs!$C$9+IF(Inputs!$C$11=1,Inputs!$C$10,0)</f>
        <v/>
      </c>
      <c r="D42" s="28">
        <f>Inputs!$D$9+IF(Inputs!$D$11=1,Inputs!$D$10,0)</f>
        <v/>
      </c>
      <c r="E42" s="28">
        <f>Inputs!$E$9+IF(Inputs!$E$11=1,Inputs!$E$10,0)</f>
        <v/>
      </c>
      <c r="F42" s="17" t="inlineStr">
        <is>
          <t>No modelo 1 a clínica fatura ao doente a totalidade; no modelo 2 fatura apenas os doentes próprios.</t>
        </is>
      </c>
    </row>
    <row r="43">
      <c r="A43" s="8" t="inlineStr">
        <is>
          <t>Receita de cedência de espaço</t>
        </is>
      </c>
      <c r="B43" s="9" t="inlineStr">
        <is>
          <t>REC_NAOPROF</t>
        </is>
      </c>
      <c r="C43" s="28">
        <f>IF(Inputs!$C$11=2,Inputs!$C$15,0)</f>
        <v/>
      </c>
      <c r="D43" s="28">
        <f>IF(Inputs!$D$11=2,Inputs!$D$15,0)</f>
        <v/>
      </c>
      <c r="E43" s="28">
        <f>IF(Inputs!$E$11=2,Inputs!$E$15,0)</f>
        <v/>
      </c>
      <c r="F43" s="17" t="inlineStr">
        <is>
          <t>Rendimento que NÃO provém de atividade da lista do art. 151.º CIRS. Ver linha PCT_PROF.</t>
        </is>
      </c>
    </row>
    <row r="44">
      <c r="A44" s="8" t="inlineStr">
        <is>
          <t>Custo com os colaboradores</t>
        </is>
      </c>
      <c r="B44" s="9" t="inlineStr">
        <is>
          <t>CUSTO_COLAB</t>
        </is>
      </c>
      <c r="C44" s="28">
        <f>IF(Inputs!$C$11=1,Inputs!$C$13,0)</f>
        <v/>
      </c>
      <c r="D44" s="28">
        <f>IF(Inputs!$D$11=1,Inputs!$D$13,0)</f>
        <v/>
      </c>
      <c r="E44" s="28">
        <f>IF(Inputs!$E$11=1,Inputs!$E$13,0)</f>
        <v/>
      </c>
      <c r="F44" s="17" t="inlineStr"/>
    </row>
    <row r="45">
      <c r="A45" s="22" t="inlineStr">
        <is>
          <t>MARGEM GERADA PELOS COLABORADORES</t>
        </is>
      </c>
      <c r="B45" s="9" t="inlineStr">
        <is>
          <t>MARGEM_COLAB</t>
        </is>
      </c>
      <c r="C45" s="27">
        <f>IF(Inputs!$C$11=1,Inputs!$C$10-Inputs!$C$13,Inputs!$C$15)</f>
        <v/>
      </c>
      <c r="D45" s="27">
        <f>IF(Inputs!$D$11=1,Inputs!$D$10-Inputs!$D$13,Inputs!$D$15)</f>
        <v/>
      </c>
      <c r="E45" s="27">
        <f>IF(Inputs!$E$11=1,Inputs!$E$10-Inputs!$E$13,Inputs!$E$15)</f>
        <v/>
      </c>
      <c r="F45" s="17" t="inlineStr">
        <is>
          <t>Exposição E2.6. É a resposta à pergunta da ata: qual dos dois modelos deixa mais margem. Alternar MOD_COLAB entre 1 e 2 e comparar esta linha.</t>
        </is>
      </c>
    </row>
    <row r="46">
      <c r="A46" s="8" t="inlineStr">
        <is>
          <t>Receita total da estrutura (incl. cônjuge, se aplicável)</t>
        </is>
      </c>
      <c r="B46" s="9" t="inlineStr">
        <is>
          <t>REC_TOTAL</t>
        </is>
      </c>
      <c r="C46" s="28">
        <f>Inputs!$C$42+Inputs!$C$43+Inputs!$C$17</f>
        <v/>
      </c>
      <c r="D46" s="28">
        <f>Inputs!$D$42+Inputs!$D$43+Inputs!$D$17</f>
        <v/>
      </c>
      <c r="E46" s="28">
        <f>Inputs!$E$42+Inputs!$E$43+Inputs!$E$17</f>
        <v/>
      </c>
      <c r="F46" s="17" t="inlineStr"/>
    </row>
    <row r="47">
      <c r="A47" s="8" t="inlineStr">
        <is>
          <t>Receita sujeita a IVA (base do pro rata)</t>
        </is>
      </c>
      <c r="B47" s="9" t="inlineStr">
        <is>
          <t>REC_TRIB</t>
        </is>
      </c>
      <c r="C47" s="28">
        <f>Inputs!$C$17+IF(Inputs!$C$16=1,Inputs!$C$43,0)</f>
        <v/>
      </c>
      <c r="D47" s="28">
        <f>Inputs!$D$17+IF(Inputs!$D$16=1,Inputs!$D$43,0)</f>
        <v/>
      </c>
      <c r="E47" s="28">
        <f>Inputs!$E$17+IF(Inputs!$E$16=1,Inputs!$E$43,0)</f>
        <v/>
      </c>
      <c r="F47" s="17" t="inlineStr">
        <is>
          <t>Depende de N1-04: se a cedência for arrendamento isento, não entra.</t>
        </is>
      </c>
    </row>
    <row r="48">
      <c r="A48" s="22" t="inlineStr">
        <is>
          <t>% de rendimentos provenientes de atividades da lista do art. 151.º CIRS</t>
        </is>
      </c>
      <c r="B48" s="9" t="inlineStr">
        <is>
          <t>PCT_PROF</t>
        </is>
      </c>
      <c r="C48" s="25">
        <f>IF(Inputs!$C$46&lt;=0,0,Inputs!$C$42/Inputs!$C$46)</f>
        <v/>
      </c>
      <c r="D48" s="25">
        <f>IF(Inputs!$D$46&lt;=0,0,Inputs!$D$42/Inputs!$D$46)</f>
        <v/>
      </c>
      <c r="E48" s="25">
        <f>IF(Inputs!$E$46&lt;=0,0,Inputs!$E$42/Inputs!$E$46)</f>
        <v/>
      </c>
      <c r="F48" s="17" t="inlineStr">
        <is>
          <t>Teste de rendimentos do art. 6.º n.º 4 al. b) ii) CIRC. Pressupõe que nem a cedência de espaço nem a atividade do cônjuge constam da lista — o segundo ponto é o R1-14, por verificar.</t>
        </is>
      </c>
    </row>
    <row r="49">
      <c r="A49" s="8" t="inlineStr">
        <is>
          <t>Receita de cedência necessária para FALHAR o teste de rendimentos</t>
        </is>
      </c>
      <c r="B49" s="9" t="inlineStr">
        <is>
          <t>REC_SALA_MIN</t>
        </is>
      </c>
      <c r="C49" s="28">
        <f>Inputs!$C$42*(1-Parametros!$C$44)/Parametros!$C$44</f>
        <v/>
      </c>
      <c r="D49" s="28">
        <f>Inputs!$D$42*(1-Parametros!$C$44)/Parametros!$C$44</f>
        <v/>
      </c>
      <c r="E49" s="28">
        <f>Inputs!$E$42*(1-Parametros!$C$44)/Parametros!$C$44</f>
        <v/>
      </c>
      <c r="F49" s="17" t="inlineStr">
        <is>
          <t>Álgebra do teste: para os rendimentos profissionais descerem a 75% ou menos, a receita não profissional tem de atingir um terço da faturação profissional. Comparar com a linha REC_NAOPROF antes de propor esta via em N1, secção 5.</t>
        </is>
      </c>
    </row>
    <row r="50">
      <c r="A50" s="22" t="inlineStr">
        <is>
          <t>Teste de rendimentos do art. 6.º n.º 4 al. b) ii) CIRC</t>
        </is>
      </c>
      <c r="B50" s="9" t="inlineStr">
        <is>
          <t>TESTE_TF</t>
        </is>
      </c>
      <c r="C50" s="26">
        <f>IF(Inputs!$C$48&gt;Parametros!$C$44,"VERIFICADO — transparência não é afastada por esta via","FALHADO — transparência afastada pelo critério de rendimentos")</f>
        <v/>
      </c>
      <c r="D50" s="26">
        <f>IF(Inputs!$D$48&gt;Parametros!$C$44,"VERIFICADO — transparência não é afastada por esta via","FALHADO — transparência afastada pelo critério de rendimentos")</f>
        <v/>
      </c>
      <c r="E50" s="26">
        <f>IF(Inputs!$E$48&gt;Parametros!$C$44,"VERIFICADO — transparência não é afastada por esta via","FALHADO — transparência afastada pelo critério de rendimentos")</f>
        <v/>
      </c>
      <c r="F50" s="17" t="inlineStr">
        <is>
          <t>N1, secção 5. Falhar este teste afasta o regime sem ceder um único euro de capital ao cônjuge.</t>
        </is>
      </c>
    </row>
    <row r="52">
      <c r="A52" s="33" t="inlineStr">
        <is>
          <t>Exemplo de preenchimento correto — linha ilustrativa</t>
        </is>
      </c>
    </row>
    <row r="53">
      <c r="A53" s="9" t="inlineStr">
        <is>
          <t>Faturação anual da própria Dra. Júlia</t>
        </is>
      </c>
      <c r="C53" s="34" t="n">
        <v>52000</v>
      </c>
      <c r="D53" s="34" t="n">
        <v>65000</v>
      </c>
      <c r="E53" s="34" t="n">
        <v>85000</v>
      </c>
      <c r="F53" s="9" t="inlineStr">
        <is>
          <t>Formato esperado: valor anual, em euros, sem IVA, número puro sem texto.</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20" t="inlineStr">
        <is>
          <t>Enquadramento atual da cliente (ata, ponto 2). O ponto em teste é o do art. 31.º n.º 13 CIRS: com custos reais elevados, o coeficiente deixa de cobrir as despesas e ainda há acréscimo por insuficiência de justificação.</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35">
        <f>Inputs!$C$42</f>
        <v/>
      </c>
      <c r="D6" s="35">
        <f>Inputs!$D$42</f>
        <v/>
      </c>
      <c r="E6" s="35">
        <f>Inputs!$E$42</f>
        <v/>
      </c>
      <c r="F6" s="17" t="inlineStr"/>
    </row>
    <row r="7">
      <c r="A7" s="8" t="inlineStr">
        <is>
          <t>Receita de cedência de espaço</t>
        </is>
      </c>
      <c r="B7" s="9" t="inlineStr">
        <is>
          <t>REC_S</t>
        </is>
      </c>
      <c r="C7" s="35">
        <f>Inputs!$C$43</f>
        <v/>
      </c>
      <c r="D7" s="35">
        <f>Inputs!$D$43</f>
        <v/>
      </c>
      <c r="E7" s="35">
        <f>Inputs!$E$43</f>
        <v/>
      </c>
      <c r="F7" s="17" t="inlineStr">
        <is>
          <t>Zero no modelo de prestação de serviços. Ver a alavanca MOD_COLAB na folha Inputs.</t>
        </is>
      </c>
    </row>
    <row r="8">
      <c r="A8" s="22" t="inlineStr">
        <is>
          <t>Rendimento bruto total da categoria B</t>
        </is>
      </c>
      <c r="B8" s="9" t="inlineStr">
        <is>
          <t>RB_TOT</t>
        </is>
      </c>
      <c r="C8" s="27">
        <f>$C$6+$C$7</f>
        <v/>
      </c>
      <c r="D8" s="27">
        <f>$D$6+$D$7</f>
        <v/>
      </c>
      <c r="E8" s="27">
        <f>$E$6+$E$7</f>
        <v/>
      </c>
      <c r="F8" s="17" t="inlineStr"/>
    </row>
    <row r="9">
      <c r="A9" s="8" t="inlineStr">
        <is>
          <t>Coeficiente aplicável à fisioterapia</t>
        </is>
      </c>
      <c r="B9" s="9" t="inlineStr">
        <is>
          <t>COEF</t>
        </is>
      </c>
      <c r="C9" s="36">
        <f>Parametros!$C$19</f>
        <v/>
      </c>
      <c r="D9" s="36">
        <f>Parametros!$C$19</f>
        <v/>
      </c>
      <c r="E9" s="36">
        <f>Parametros!$C$19</f>
        <v/>
      </c>
      <c r="F9" s="17"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36">
        <f>Parametros!$C$26</f>
        <v/>
      </c>
      <c r="D10" s="36">
        <f>Parametros!$C$26</f>
        <v/>
      </c>
      <c r="E10" s="36">
        <f>Parametros!$C$26</f>
        <v/>
      </c>
      <c r="F10" s="17"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8">
        <f>$C$6*$C$9+$C$7*$C$10</f>
        <v/>
      </c>
      <c r="D11" s="28">
        <f>$D$6*$D$9+$D$7*$D$10</f>
        <v/>
      </c>
      <c r="E11" s="28">
        <f>$E$6*$E$9+$E$7*$E$10</f>
        <v/>
      </c>
      <c r="F11" s="17" t="inlineStr"/>
    </row>
    <row r="12">
      <c r="A12" s="8" t="inlineStr">
        <is>
          <t>Limiar de justificação de despesas (15% do rendimento bruto)</t>
        </is>
      </c>
      <c r="B12" s="9" t="inlineStr">
        <is>
          <t>LIMIAR</t>
        </is>
      </c>
      <c r="C12" s="28">
        <f>$C$8*Parametros!$C$20</f>
        <v/>
      </c>
      <c r="D12" s="28">
        <f>$D$8*Parametros!$C$20</f>
        <v/>
      </c>
      <c r="E12" s="28">
        <f>$E$8*Parametros!$C$20</f>
        <v/>
      </c>
      <c r="F12" s="17" t="inlineStr">
        <is>
          <t>Art. 31.º n.º 13 CIRS.</t>
        </is>
      </c>
    </row>
    <row r="13">
      <c r="A13" s="8" t="inlineStr">
        <is>
          <t>Despesas justificáveis — dedução específica</t>
        </is>
      </c>
      <c r="B13" s="9" t="inlineStr">
        <is>
          <t>D_ESP</t>
        </is>
      </c>
      <c r="C13" s="35">
        <f>Parametros!$C$21</f>
        <v/>
      </c>
      <c r="D13" s="35">
        <f>Parametros!$C$21</f>
        <v/>
      </c>
      <c r="E13" s="35">
        <f>Parametros!$C$21</f>
        <v/>
      </c>
      <c r="F13" s="17" t="inlineStr"/>
    </row>
    <row r="14">
      <c r="A14" s="8" t="inlineStr">
        <is>
          <t>Despesas justificáveis — rendas do imóvel afeto</t>
        </is>
      </c>
      <c r="B14" s="9" t="inlineStr">
        <is>
          <t>D_RENDA</t>
        </is>
      </c>
      <c r="C14" s="35">
        <f>Inputs!$C$19</f>
        <v/>
      </c>
      <c r="D14" s="35">
        <f>Inputs!$D$19</f>
        <v/>
      </c>
      <c r="E14" s="35">
        <f>Inputs!$E$19</f>
        <v/>
      </c>
      <c r="F14" s="17" t="inlineStr">
        <is>
          <t>Art. 31.º n.º 13 al. c) CIRS.</t>
        </is>
      </c>
    </row>
    <row r="15">
      <c r="A15" s="8" t="inlineStr">
        <is>
          <t>Despesas justificáveis — aquisição de bens e serviços</t>
        </is>
      </c>
      <c r="B15" s="9" t="inlineStr">
        <is>
          <t>D_BENS</t>
        </is>
      </c>
      <c r="C15" s="35">
        <f>Inputs!$C$20+Inputs!$C$21+Inputs!$C$22+Inputs!$C$24+Inputs!$C$25+Inputs!$C$44</f>
        <v/>
      </c>
      <c r="D15" s="35">
        <f>Inputs!$D$20+Inputs!$D$21+Inputs!$D$22+Inputs!$D$24+Inputs!$D$25+Inputs!$D$44</f>
        <v/>
      </c>
      <c r="E15" s="35">
        <f>Inputs!$E$20+Inputs!$E$21+Inputs!$E$22+Inputs!$E$24+Inputs!$E$25+Inputs!$E$44</f>
        <v/>
      </c>
      <c r="F15" s="17"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35">
        <f>Inputs!$C$27+Inputs!$C$28+Inputs!$C$29+Inputs!$C$30</f>
        <v/>
      </c>
      <c r="D16" s="35">
        <f>Inputs!$D$27+Inputs!$D$28+Inputs!$D$29+Inputs!$D$30</f>
        <v/>
      </c>
      <c r="E16" s="35">
        <f>Inputs!$E$27+Inputs!$E$28+Inputs!$E$29+Inputs!$E$30</f>
        <v/>
      </c>
      <c r="F16" s="17"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7">
        <f>SUM($C$13:$C$16)</f>
        <v/>
      </c>
      <c r="D17" s="27">
        <f>SUM($D$13:$D$16)</f>
        <v/>
      </c>
      <c r="E17" s="27">
        <f>SUM($E$13:$E$16)</f>
        <v/>
      </c>
      <c r="F17" s="17" t="inlineStr"/>
    </row>
    <row r="18">
      <c r="A18" s="8" t="inlineStr">
        <is>
          <t>Acréscimo por insuficiência de justificação</t>
        </is>
      </c>
      <c r="B18" s="9" t="inlineStr">
        <is>
          <t>ACRESC</t>
        </is>
      </c>
      <c r="C18" s="28">
        <f>MAX(0,$C$12-$C$17)</f>
        <v/>
      </c>
      <c r="D18" s="28">
        <f>MAX(0,$D$12-$D$17)</f>
        <v/>
      </c>
      <c r="E18" s="28">
        <f>MAX(0,$E$12-$E$17)</f>
        <v/>
      </c>
      <c r="F18" s="17" t="inlineStr">
        <is>
          <t>Art. 31.º n.º 13 CIRS: acresce ao rendimento tributável a diferença positiva.</t>
        </is>
      </c>
    </row>
    <row r="19">
      <c r="A19" s="8" t="inlineStr">
        <is>
          <t>Rendimento da categoria B antes da dedução de contribuições</t>
        </is>
      </c>
      <c r="B19" s="9" t="inlineStr">
        <is>
          <t>RB_CATB</t>
        </is>
      </c>
      <c r="C19" s="28">
        <f>$C$11+$C$18</f>
        <v/>
      </c>
      <c r="D19" s="28">
        <f>$D$11+$D$18</f>
        <v/>
      </c>
      <c r="E19" s="28">
        <f>$E$11+$E$18</f>
        <v/>
      </c>
      <c r="F19" s="17" t="inlineStr"/>
    </row>
    <row r="20">
      <c r="A20" s="2" t="inlineStr">
        <is>
          <t>Segurança Social — trabalhador independente</t>
        </is>
      </c>
      <c r="B20" s="7" t="n"/>
      <c r="C20" s="7" t="n"/>
      <c r="D20" s="7" t="n"/>
      <c r="E20" s="7" t="n"/>
      <c r="F20" s="7" t="n"/>
    </row>
    <row r="21">
      <c r="A21" s="8" t="inlineStr">
        <is>
          <t>Rendimento relevante</t>
        </is>
      </c>
      <c r="B21" s="9" t="inlineStr">
        <is>
          <t>SS_REL</t>
        </is>
      </c>
      <c r="C21" s="28">
        <f>$C$8*Parametros!$C$7</f>
        <v/>
      </c>
      <c r="D21" s="28">
        <f>$D$8*Parametros!$C$7</f>
        <v/>
      </c>
      <c r="E21" s="28">
        <f>$E$8*Parametros!$C$7</f>
        <v/>
      </c>
      <c r="F21" s="17"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8">
        <f>MIN($C$21,Parametros!$C$6*Parametros!$C$9*12)</f>
        <v/>
      </c>
      <c r="D22" s="28">
        <f>MIN($D$21,Parametros!$C$6*Parametros!$C$9*12)</f>
        <v/>
      </c>
      <c r="E22" s="28">
        <f>MIN($E$21,Parametros!$C$6*Parametros!$C$9*12)</f>
        <v/>
      </c>
      <c r="F22" s="17" t="inlineStr">
        <is>
          <t>Teto mensal de 12 x IAS.</t>
        </is>
      </c>
    </row>
    <row r="23">
      <c r="A23" s="22" t="inlineStr">
        <is>
          <t>Contribuição anual para a Segurança Social</t>
        </is>
      </c>
      <c r="B23" s="9" t="inlineStr">
        <is>
          <t>SS_CONTR</t>
        </is>
      </c>
      <c r="C23" s="27">
        <f>MAX($C$22*Parametros!$C$8,Parametros!$C$10*12)</f>
        <v/>
      </c>
      <c r="D23" s="27">
        <f>MAX($D$22*Parametros!$C$8,Parametros!$C$10*12)</f>
        <v/>
      </c>
      <c r="E23" s="27">
        <f>MAX($E$22*Parametros!$C$8,Parametros!$C$10*12)</f>
        <v/>
      </c>
      <c r="F23" s="17" t="inlineStr">
        <is>
          <t>Bloco ausente da ata. Na via 1 a base é a faturação bruta, não a margem — é aqui que está o maior diferencial entre as vias.</t>
        </is>
      </c>
    </row>
    <row r="24">
      <c r="A24" s="8" t="inlineStr">
        <is>
          <t>Parte dedutível em IRS</t>
        </is>
      </c>
      <c r="B24" s="9" t="inlineStr">
        <is>
          <t>SS_DED</t>
        </is>
      </c>
      <c r="C24" s="28">
        <f>MAX(0,$C$23-$C$8*Parametros!$C$22)</f>
        <v/>
      </c>
      <c r="D24" s="28">
        <f>MAX(0,$D$23-$D$8*Parametros!$C$22)</f>
        <v/>
      </c>
      <c r="E24" s="28">
        <f>MAX(0,$E$23-$E$8*Parametros!$C$22)</f>
        <v/>
      </c>
      <c r="F24" s="17" t="inlineStr">
        <is>
          <t>Art. 31.º n.º 2 CIRS: dedutível apenas na parte que excede 10% do rendimento bruto.</t>
        </is>
      </c>
    </row>
    <row r="25">
      <c r="A25" s="22" t="inlineStr">
        <is>
          <t>Rendimento líquido da categoria B</t>
        </is>
      </c>
      <c r="B25" s="9" t="inlineStr">
        <is>
          <t>RL_CATB</t>
        </is>
      </c>
      <c r="C25" s="27">
        <f>$C$19-$C$24</f>
        <v/>
      </c>
      <c r="D25" s="27">
        <f>$D$19-$D$24</f>
        <v/>
      </c>
      <c r="E25" s="27">
        <f>$E$19-$E$24</f>
        <v/>
      </c>
      <c r="F25" s="17" t="inlineStr"/>
    </row>
    <row r="26">
      <c r="A26" s="2" t="inlineStr">
        <is>
          <t>IRS do agregado</t>
        </is>
      </c>
      <c r="B26" s="7" t="n"/>
      <c r="C26" s="7" t="n"/>
      <c r="D26" s="7" t="n"/>
      <c r="E26" s="7" t="n"/>
      <c r="F26" s="7" t="n"/>
    </row>
    <row r="27">
      <c r="A27" s="22" t="inlineStr">
        <is>
          <t>Rendimento da sócia sujeito a englobamento</t>
        </is>
      </c>
      <c r="B27" s="9" t="inlineStr">
        <is>
          <t>R_JUL</t>
        </is>
      </c>
      <c r="C27" s="27">
        <f>$C$25</f>
        <v/>
      </c>
      <c r="D27" s="27">
        <f>$D$25</f>
        <v/>
      </c>
      <c r="E27" s="27">
        <f>$E$25</f>
        <v/>
      </c>
      <c r="F27" s="17" t="inlineStr">
        <is>
          <t>Só categoria B. Não há remuneração de gerência nesta via.</t>
        </is>
      </c>
    </row>
    <row r="28">
      <c r="A28" s="8" t="inlineStr">
        <is>
          <t>Rendimento do cônjuge fora da estrutura</t>
        </is>
      </c>
      <c r="B28" s="9" t="inlineStr">
        <is>
          <t>R_CONJ</t>
        </is>
      </c>
      <c r="C28" s="35">
        <f>Inputs!$C$37</f>
        <v/>
      </c>
      <c r="D28" s="35">
        <f>Inputs!$D$37</f>
        <v/>
      </c>
      <c r="E28" s="35">
        <f>Inputs!$E$37</f>
        <v/>
      </c>
      <c r="F28" s="17" t="inlineStr"/>
    </row>
    <row r="29">
      <c r="A29" s="8" t="inlineStr">
        <is>
          <t>Rendimento coletável do agregado — com a atividade</t>
        </is>
      </c>
      <c r="B29" s="9" t="inlineStr">
        <is>
          <t>RC_COM</t>
        </is>
      </c>
      <c r="C29" s="28">
        <f>$C$27+$C$28</f>
        <v/>
      </c>
      <c r="D29" s="28">
        <f>$D$27+$D$28</f>
        <v/>
      </c>
      <c r="E29" s="28">
        <f>$E$27+$E$28</f>
        <v/>
      </c>
      <c r="F29" s="17" t="inlineStr"/>
    </row>
    <row r="30">
      <c r="A30" s="8" t="inlineStr">
        <is>
          <t>Rendimento coletável do agregado — sem a atividade</t>
        </is>
      </c>
      <c r="B30" s="9" t="inlineStr">
        <is>
          <t>RC_SEM</t>
        </is>
      </c>
      <c r="C30" s="28">
        <f>$C$28</f>
        <v/>
      </c>
      <c r="D30" s="28">
        <f>$D$28</f>
        <v/>
      </c>
      <c r="E30" s="28">
        <f>$E$28</f>
        <v/>
      </c>
      <c r="F30" s="17" t="inlineStr">
        <is>
          <t>Contrafactual. O diferencial entre as duas coletas é o IRS realmente imputável à atividade e é o que torna as quatro vias comparáveis.</t>
        </is>
      </c>
    </row>
    <row r="31">
      <c r="A31" s="8" t="inlineStr">
        <is>
          <t>Coleta com a atividade (incl. taxa adicional de solidariedade)</t>
        </is>
      </c>
      <c r="B31" s="9" t="inlineStr">
        <is>
          <t>COL_COM</t>
        </is>
      </c>
      <c r="C31" s="28">
        <f>IF(Inputs!$C$38=1,2*(SUMPRODUCT((($C$29/2)&gt;Parametros!$B$50:$B$58)*(($C$29/2)-Parametros!$B$50:$B$58)*Parametros!$E$50:$E$58)+SUMPRODUCT((($C$29/2)&gt;Parametros!$B$62:$B$63)*(($C$29/2)-Parametros!$B$62:$B$63)*Parametros!$E$62:$E$63)),SUMPRODUCT(($C$29&gt;Parametros!$B$50:$B$58)*($C$29-Parametros!$B$50:$B$58)*Parametros!$E$50:$E$58)+SUMPRODUCT(($C$29&gt;Parametros!$B$62:$B$63)*($C$29-Parametros!$B$62:$B$63)*Parametros!$E$62:$E$63))</f>
        <v/>
      </c>
      <c r="D31" s="28">
        <f>IF(Inputs!$D$38=1,2*(SUMPRODUCT((($D$29/2)&gt;Parametros!$B$50:$B$58)*(($D$29/2)-Parametros!$B$50:$B$58)*Parametros!$E$50:$E$58)+SUMPRODUCT((($D$29/2)&gt;Parametros!$B$62:$B$63)*(($D$29/2)-Parametros!$B$62:$B$63)*Parametros!$E$62:$E$63)),SUMPRODUCT(($D$29&gt;Parametros!$B$50:$B$58)*($D$29-Parametros!$B$50:$B$58)*Parametros!$E$50:$E$58)+SUMPRODUCT(($D$29&gt;Parametros!$B$62:$B$63)*($D$29-Parametros!$B$62:$B$63)*Parametros!$E$62:$E$63))</f>
        <v/>
      </c>
      <c r="E31" s="28">
        <f>IF(Inputs!$E$38=1,2*(SUMPRODUCT((($E$29/2)&gt;Parametros!$B$50:$B$58)*(($E$29/2)-Parametros!$B$50:$B$58)*Parametros!$E$50:$E$58)+SUMPRODUCT((($E$29/2)&gt;Parametros!$B$62:$B$63)*(($E$29/2)-Parametros!$B$62:$B$63)*Parametros!$E$62:$E$63)),SUMPRODUCT(($E$29&gt;Parametros!$B$50:$B$58)*($E$29-Parametros!$B$50:$B$58)*Parametros!$E$50:$E$58)+SUMPRODUCT(($E$29&gt;Parametros!$B$62:$B$63)*($E$29-Parametros!$B$62:$B$63)*Parametros!$E$62:$E$63))</f>
        <v/>
      </c>
      <c r="F31" s="17" t="inlineStr">
        <is>
          <t>Escalões e quociente conjugal na folha Parâmetros. Art. 68.º, 68.º-A e 69.º CIRS.</t>
        </is>
      </c>
    </row>
    <row r="32">
      <c r="A32" s="8" t="inlineStr">
        <is>
          <t>Coleta sem a atividade</t>
        </is>
      </c>
      <c r="B32" s="9" t="inlineStr">
        <is>
          <t>COL_SEM</t>
        </is>
      </c>
      <c r="C32" s="28">
        <f>IF(Inputs!$C$38=1,2*(SUMPRODUCT((($C$30/2)&gt;Parametros!$B$50:$B$58)*(($C$30/2)-Parametros!$B$50:$B$58)*Parametros!$E$50:$E$58)+SUMPRODUCT((($C$30/2)&gt;Parametros!$B$62:$B$63)*(($C$30/2)-Parametros!$B$62:$B$63)*Parametros!$E$62:$E$63)),SUMPRODUCT(($C$30&gt;Parametros!$B$50:$B$58)*($C$30-Parametros!$B$50:$B$58)*Parametros!$E$50:$E$58)+SUMPRODUCT(($C$30&gt;Parametros!$B$62:$B$63)*($C$30-Parametros!$B$62:$B$63)*Parametros!$E$62:$E$63))</f>
        <v/>
      </c>
      <c r="D32" s="28">
        <f>IF(Inputs!$D$38=1,2*(SUMPRODUCT((($D$30/2)&gt;Parametros!$B$50:$B$58)*(($D$30/2)-Parametros!$B$50:$B$58)*Parametros!$E$50:$E$58)+SUMPRODUCT((($D$30/2)&gt;Parametros!$B$62:$B$63)*(($D$30/2)-Parametros!$B$62:$B$63)*Parametros!$E$62:$E$63)),SUMPRODUCT(($D$30&gt;Parametros!$B$50:$B$58)*($D$30-Parametros!$B$50:$B$58)*Parametros!$E$50:$E$58)+SUMPRODUCT(($D$30&gt;Parametros!$B$62:$B$63)*($D$30-Parametros!$B$62:$B$63)*Parametros!$E$62:$E$63))</f>
        <v/>
      </c>
      <c r="E32" s="28">
        <f>IF(Inputs!$E$38=1,2*(SUMPRODUCT((($E$30/2)&gt;Parametros!$B$50:$B$58)*(($E$30/2)-Parametros!$B$50:$B$58)*Parametros!$E$50:$E$58)+SUMPRODUCT((($E$30/2)&gt;Parametros!$B$62:$B$63)*(($E$30/2)-Parametros!$B$62:$B$63)*Parametros!$E$62:$E$63)),SUMPRODUCT(($E$30&gt;Parametros!$B$50:$B$58)*($E$30-Parametros!$B$50:$B$58)*Parametros!$E$50:$E$58)+SUMPRODUCT(($E$30&gt;Parametros!$B$62:$B$63)*($E$30-Parametros!$B$62:$B$63)*Parametros!$E$62:$E$63))</f>
        <v/>
      </c>
      <c r="F32" s="17" t="inlineStr"/>
    </row>
    <row r="33">
      <c r="A33" s="22" t="inlineStr">
        <is>
          <t>IRS imputável à atividade</t>
        </is>
      </c>
      <c r="B33" s="9" t="inlineStr">
        <is>
          <t>IRS_ATIV</t>
        </is>
      </c>
      <c r="C33" s="27">
        <f>$C$31-$C$32</f>
        <v/>
      </c>
      <c r="D33" s="27">
        <f>$D$31-$D$32</f>
        <v/>
      </c>
      <c r="E33" s="27">
        <f>$E$31-$E$32</f>
        <v/>
      </c>
      <c r="F33" s="17" t="inlineStr"/>
    </row>
    <row r="34">
      <c r="A34" s="8" t="inlineStr">
        <is>
          <t>IRS total do agregado, após deduções à coleta (memória)</t>
        </is>
      </c>
      <c r="B34" s="9" t="inlineStr">
        <is>
          <t>IRS_TOT</t>
        </is>
      </c>
      <c r="C34" s="28">
        <f>MAX(0,$C$31-Inputs!$C$40)</f>
        <v/>
      </c>
      <c r="D34" s="28">
        <f>MAX(0,$D$31-Inputs!$D$40)</f>
        <v/>
      </c>
      <c r="E34" s="28">
        <f>MAX(0,$E$31-Inputs!$E$40)</f>
        <v/>
      </c>
      <c r="F34" s="17" t="inlineStr">
        <is>
          <t>Não entra na comparação entre vias; serve para o enquadramento do capítulo 3.</t>
        </is>
      </c>
    </row>
    <row r="35">
      <c r="A35" s="2" t="inlineStr">
        <is>
          <t>Resultado</t>
        </is>
      </c>
      <c r="B35" s="7" t="n"/>
      <c r="C35" s="7" t="n"/>
      <c r="D35" s="7" t="n"/>
      <c r="E35" s="7" t="n"/>
      <c r="F35" s="7" t="n"/>
    </row>
    <row r="36">
      <c r="A36" s="22" t="inlineStr">
        <is>
          <t>Caixa gerada pela atividade, antes de impostos e contribuições</t>
        </is>
      </c>
      <c r="B36" s="9" t="inlineStr">
        <is>
          <t>CAIXA</t>
        </is>
      </c>
      <c r="C36" s="27">
        <f>Inputs!$C$42+Inputs!$C$43+Inputs!$C$17-(Inputs!$C$19+Inputs!$C$20+Inputs!$C$21+Inputs!$C$22+Inputs!$C$24+Inputs!$C$25+Inputs!$C$44)</f>
        <v/>
      </c>
      <c r="D36" s="27">
        <f>Inputs!$D$42+Inputs!$D$43+Inputs!$D$17-(Inputs!$D$19+Inputs!$D$20+Inputs!$D$21+Inputs!$D$22+Inputs!$D$24+Inputs!$D$25+Inputs!$D$44)</f>
        <v/>
      </c>
      <c r="E36" s="27">
        <f>Inputs!$E$42+Inputs!$E$43+Inputs!$E$17-(Inputs!$E$19+Inputs!$E$20+Inputs!$E$21+Inputs!$E$22+Inputs!$E$24+Inputs!$E$25+Inputs!$E$44)</f>
        <v/>
      </c>
      <c r="F36" s="17" t="inlineStr">
        <is>
          <t>Caixa gerada pela atividade, igual nas quatro vias por construção. Exclui o investimento inicial, que é um efeito de ano 1 e está isolado na folha IVA e na linha própria abaixo.</t>
        </is>
      </c>
    </row>
    <row r="37">
      <c r="A37" s="22" t="inlineStr">
        <is>
          <t>Total de impostos e contribuições</t>
        </is>
      </c>
      <c r="B37" s="9" t="inlineStr">
        <is>
          <t>CARGA</t>
        </is>
      </c>
      <c r="C37" s="27">
        <f>$C$33+$C$23</f>
        <v/>
      </c>
      <c r="D37" s="27">
        <f>$D$33+$D$23</f>
        <v/>
      </c>
      <c r="E37" s="27">
        <f>$E$33+$E$23</f>
        <v/>
      </c>
      <c r="F37" s="17" t="inlineStr">
        <is>
          <t>IRS imputável à atividade + contribuições para a Segurança Social.</t>
        </is>
      </c>
    </row>
    <row r="38">
      <c r="A38" s="8" t="inlineStr">
        <is>
          <t>Taxa de esforço efetiva sobre a caixa gerada</t>
        </is>
      </c>
      <c r="B38" s="9" t="inlineStr">
        <is>
          <t>TAXA_EF</t>
        </is>
      </c>
      <c r="C38" s="37">
        <f>IF($C$36&lt;=0,0,$C$37/$C$36)</f>
        <v/>
      </c>
      <c r="D38" s="37">
        <f>IF($D$36&lt;=0,0,$D$37/$D$36)</f>
        <v/>
      </c>
      <c r="E38" s="37">
        <f>IF($E$36&lt;=0,0,$E$37/$E$36)</f>
        <v/>
      </c>
      <c r="F38" s="17" t="inlineStr"/>
    </row>
    <row r="39">
      <c r="A39" s="8" t="inlineStr">
        <is>
          <t>Valor retido na sociedade (não disponibilizado à sócia)</t>
        </is>
      </c>
      <c r="B39" s="9" t="inlineStr">
        <is>
          <t>RETIDO</t>
        </is>
      </c>
      <c r="C39" s="28">
        <f>0</f>
        <v/>
      </c>
      <c r="D39" s="28">
        <f>0</f>
        <v/>
      </c>
      <c r="E39" s="28">
        <f>0</f>
        <v/>
      </c>
      <c r="F39" s="17" t="inlineStr"/>
    </row>
    <row r="40">
      <c r="A40" s="8" t="inlineStr">
        <is>
          <t>Valor atribuído ao cônjuge por via de dividendos, líquido</t>
        </is>
      </c>
      <c r="B40" s="9" t="inlineStr">
        <is>
          <t>LIQ_CJ</t>
        </is>
      </c>
      <c r="C40" s="28">
        <f>0</f>
        <v/>
      </c>
      <c r="D40" s="28">
        <f>0</f>
        <v/>
      </c>
      <c r="E40" s="28">
        <f>0</f>
        <v/>
      </c>
      <c r="F40" s="17" t="inlineStr">
        <is>
          <t>Só via 4. É uma transferência real de rendimento dentro do agregado e tem de ser explicitada — não é indiferente à sócia.</t>
        </is>
      </c>
    </row>
    <row r="41">
      <c r="A41" s="22" t="inlineStr">
        <is>
          <t>LÍQUIDO DISPONÍVEL PARA A SÓCIA</t>
        </is>
      </c>
      <c r="B41" s="9" t="inlineStr">
        <is>
          <t>LIQ_SOC</t>
        </is>
      </c>
      <c r="C41" s="27">
        <f>$C$36-$C$37-$C$39-$C$40</f>
        <v/>
      </c>
      <c r="D41" s="27">
        <f>$D$36-$D$37-$D$39-$D$40</f>
        <v/>
      </c>
      <c r="E41" s="27">
        <f>$E$36-$E$37-$E$39-$E$40</f>
        <v/>
      </c>
      <c r="F41" s="17" t="inlineStr"/>
    </row>
    <row r="42">
      <c r="A42" s="22" t="inlineStr">
        <is>
          <t>LÍQUIDO DISPONÍVEL PARA O AGREGADO</t>
        </is>
      </c>
      <c r="B42" s="9" t="inlineStr">
        <is>
          <t>LIQ_AGR</t>
        </is>
      </c>
      <c r="C42" s="27">
        <f>$C$41+$C$40</f>
        <v/>
      </c>
      <c r="D42" s="27">
        <f>$D$41+$D$40</f>
        <v/>
      </c>
      <c r="E42" s="27">
        <f>$E$41+$E$40</f>
        <v/>
      </c>
      <c r="F42" s="17" t="inlineStr"/>
    </row>
    <row r="43">
      <c r="A43" s="8" t="inlineStr">
        <is>
          <t>Memória — investimento e IVA não dedutível suportados no ano 1</t>
        </is>
      </c>
      <c r="B43" s="9" t="inlineStr">
        <is>
          <t>INV_A1</t>
        </is>
      </c>
      <c r="C43" s="28">
        <f>Inputs!$C$27+Inputs!$C$28+Inputs!$C$29+Inputs!$C$30</f>
        <v/>
      </c>
      <c r="D43" s="28">
        <f>Inputs!$D$27+Inputs!$D$28+Inputs!$D$29+Inputs!$D$30</f>
        <v/>
      </c>
      <c r="E43" s="28">
        <f>Inputs!$E$27+Inputs!$E$28+Inputs!$E$29+Inputs!$E$30</f>
        <v/>
      </c>
      <c r="F43" s="17" t="inlineStr">
        <is>
          <t>Excluído da comparação anual acima. Quantificação do IVA na folha IVA.</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20" t="inlineStr">
        <is>
          <t>Mantém o ENI e passa a deduzir os custos efetivos. Duas consequências que a ata não quantificou: a base de incidência da Segurança Social deixa de ser 70% da faturação e passa a ser o lucro tributável, e a opção vincula por 3 anos.</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dedutíveis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is>
          <t>Dedutíveis como custo da atividade (ata, ponto 4). Sujeitos ao risco de requalificação tratado na fase 2 do P1.</t>
        </is>
      </c>
    </row>
    <row r="9">
      <c r="A9" s="8" t="inlineStr">
        <is>
          <t>Amortizações do exercício</t>
        </is>
      </c>
      <c r="B9" s="9" t="inlineStr">
        <is>
          <t>AMORT</t>
        </is>
      </c>
      <c r="C9" s="28">
        <f>Inputs!$C$27*Parametros!$C$39+(Inputs!$C$28+Inputs!$C$29)*Parametros!$C$40+Inputs!$C$30*Parametros!$C$41</f>
        <v/>
      </c>
      <c r="D9" s="28">
        <f>Inputs!$D$27*Parametros!$C$39+(Inputs!$D$28+Inputs!$D$29)*Parametros!$C$40+Inputs!$D$30*Parametros!$C$41</f>
        <v/>
      </c>
      <c r="E9" s="28">
        <f>Inputs!$E$27*Parametros!$C$39+(Inputs!$E$28+Inputs!$E$29)*Parametros!$C$40+Inputs!$E$30*Parametros!$C$41</f>
        <v/>
      </c>
      <c r="F9" s="17"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7">
        <f>$C$6-$C$7-$C$8-$C$9</f>
        <v/>
      </c>
      <c r="D10" s="27">
        <f>$D$6-$D$7-$D$8-$D$9</f>
        <v/>
      </c>
      <c r="E10" s="27">
        <f>$E$6-$E$7-$E$8-$E$9</f>
        <v/>
      </c>
      <c r="F10" s="17"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8">
        <f>MIN(MAX($C$10,0),Parametros!$C$6*Parametros!$C$9*12)</f>
        <v/>
      </c>
      <c r="D12" s="28">
        <f>MIN(MAX($D$10,0),Parametros!$C$6*Parametros!$C$9*12)</f>
        <v/>
      </c>
      <c r="E12" s="28">
        <f>MIN(MAX($E$10,0),Parametros!$C$6*Parametros!$C$9*12)</f>
        <v/>
      </c>
      <c r="F12" s="17"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7">
        <f>MAX($C$12*Parametros!$C$8,Parametros!$C$10*12)</f>
        <v/>
      </c>
      <c r="D13" s="27">
        <f>MAX($D$12*Parametros!$C$8,Parametros!$C$10*12)</f>
        <v/>
      </c>
      <c r="E13" s="27">
        <f>MAX($E$12*Parametros!$C$8,Parametros!$C$10*12)</f>
        <v/>
      </c>
      <c r="F13" s="17" t="inlineStr"/>
    </row>
    <row r="14">
      <c r="A14" s="22" t="inlineStr">
        <is>
          <t>Lucro tributável após dedução das contribuições</t>
        </is>
      </c>
      <c r="B14" s="9" t="inlineStr">
        <is>
          <t>LT</t>
        </is>
      </c>
      <c r="C14" s="27">
        <f>MAX(0,$C$10-$C$13)</f>
        <v/>
      </c>
      <c r="D14" s="27">
        <f>MAX(0,$D$10-$D$13)</f>
        <v/>
      </c>
      <c r="E14" s="27">
        <f>MAX(0,$E$10-$E$13)</f>
        <v/>
      </c>
      <c r="F14" s="17"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7">
        <f>$C$14</f>
        <v/>
      </c>
      <c r="D16" s="27">
        <f>$D$14</f>
        <v/>
      </c>
      <c r="E16" s="27">
        <f>$E$14</f>
        <v/>
      </c>
      <c r="F16" s="17" t="inlineStr">
        <is>
          <t>Lucro tributável real. Não há dedução específica de 4.104 € nesta via.</t>
        </is>
      </c>
    </row>
    <row r="17">
      <c r="A17" s="8" t="inlineStr">
        <is>
          <t>Rendimento do cônjuge fora da estrutura</t>
        </is>
      </c>
      <c r="B17" s="9" t="inlineStr">
        <is>
          <t>R_CONJ</t>
        </is>
      </c>
      <c r="C17" s="35">
        <f>Inputs!$C$37</f>
        <v/>
      </c>
      <c r="D17" s="35">
        <f>Inputs!$D$37</f>
        <v/>
      </c>
      <c r="E17" s="35">
        <f>Inputs!$E$37</f>
        <v/>
      </c>
      <c r="F17" s="17" t="inlineStr"/>
    </row>
    <row r="18">
      <c r="A18" s="8" t="inlineStr">
        <is>
          <t>Rendimento coletável do agregado — com a atividade</t>
        </is>
      </c>
      <c r="B18" s="9" t="inlineStr">
        <is>
          <t>RC_COM</t>
        </is>
      </c>
      <c r="C18" s="28">
        <f>$C$16+$C$17</f>
        <v/>
      </c>
      <c r="D18" s="28">
        <f>$D$16+$D$17</f>
        <v/>
      </c>
      <c r="E18" s="28">
        <f>$E$16+$E$17</f>
        <v/>
      </c>
      <c r="F18" s="17" t="inlineStr"/>
    </row>
    <row r="19">
      <c r="A19" s="8" t="inlineStr">
        <is>
          <t>Rendimento coletável do agregado — sem a atividade</t>
        </is>
      </c>
      <c r="B19" s="9" t="inlineStr">
        <is>
          <t>RC_SEM</t>
        </is>
      </c>
      <c r="C19" s="28">
        <f>$C$17</f>
        <v/>
      </c>
      <c r="D19" s="28">
        <f>$D$17</f>
        <v/>
      </c>
      <c r="E19" s="28">
        <f>$E$17</f>
        <v/>
      </c>
      <c r="F19" s="17" t="inlineStr">
        <is>
          <t>Contrafactual. O diferencial entre as duas coletas é o IRS realmente imputável à atividade e é o que torna as quatro vias comparáveis.</t>
        </is>
      </c>
    </row>
    <row r="20">
      <c r="A20" s="8" t="inlineStr">
        <is>
          <t>Coleta com a atividade (incl. taxa adicional de solidariedade)</t>
        </is>
      </c>
      <c r="B20" s="9" t="inlineStr">
        <is>
          <t>COL_COM</t>
        </is>
      </c>
      <c r="C20" s="28">
        <f>IF(Inputs!$C$38=1,2*(SUMPRODUCT((($C$18/2)&gt;Parametros!$B$50:$B$58)*(($C$18/2)-Parametros!$B$50:$B$58)*Parametros!$E$50:$E$58)+SUMPRODUCT((($C$18/2)&gt;Parametros!$B$62:$B$63)*(($C$18/2)-Parametros!$B$62:$B$63)*Parametros!$E$62:$E$63)),SUMPRODUCT(($C$18&gt;Parametros!$B$50:$B$58)*($C$18-Parametros!$B$50:$B$58)*Parametros!$E$50:$E$58)+SUMPRODUCT(($C$18&gt;Parametros!$B$62:$B$63)*($C$18-Parametros!$B$62:$B$63)*Parametros!$E$62:$E$63))</f>
        <v/>
      </c>
      <c r="D20" s="28">
        <f>IF(Inputs!$D$38=1,2*(SUMPRODUCT((($D$18/2)&gt;Parametros!$B$50:$B$58)*(($D$18/2)-Parametros!$B$50:$B$58)*Parametros!$E$50:$E$58)+SUMPRODUCT((($D$18/2)&gt;Parametros!$B$62:$B$63)*(($D$18/2)-Parametros!$B$62:$B$63)*Parametros!$E$62:$E$63)),SUMPRODUCT(($D$18&gt;Parametros!$B$50:$B$58)*($D$18-Parametros!$B$50:$B$58)*Parametros!$E$50:$E$58)+SUMPRODUCT(($D$18&gt;Parametros!$B$62:$B$63)*($D$18-Parametros!$B$62:$B$63)*Parametros!$E$62:$E$63))</f>
        <v/>
      </c>
      <c r="E20" s="28">
        <f>IF(Inputs!$E$38=1,2*(SUMPRODUCT((($E$18/2)&gt;Parametros!$B$50:$B$58)*(($E$18/2)-Parametros!$B$50:$B$58)*Parametros!$E$50:$E$58)+SUMPRODUCT((($E$18/2)&gt;Parametros!$B$62:$B$63)*(($E$18/2)-Parametros!$B$62:$B$63)*Parametros!$E$62:$E$63)),SUMPRODUCT(($E$18&gt;Parametros!$B$50:$B$58)*($E$18-Parametros!$B$50:$B$58)*Parametros!$E$50:$E$58)+SUMPRODUCT(($E$18&gt;Parametros!$B$62:$B$63)*($E$18-Parametros!$B$62:$B$63)*Parametros!$E$62:$E$63))</f>
        <v/>
      </c>
      <c r="F20" s="17" t="inlineStr">
        <is>
          <t>Escalões e quociente conjugal na folha Parâmetros. Art. 68.º, 68.º-A e 69.º CIRS.</t>
        </is>
      </c>
    </row>
    <row r="21">
      <c r="A21" s="8" t="inlineStr">
        <is>
          <t>Coleta sem a atividade</t>
        </is>
      </c>
      <c r="B21" s="9" t="inlineStr">
        <is>
          <t>COL_SEM</t>
        </is>
      </c>
      <c r="C21" s="28">
        <f>IF(Inputs!$C$38=1,2*(SUMPRODUCT((($C$19/2)&gt;Parametros!$B$50:$B$58)*(($C$19/2)-Parametros!$B$50:$B$58)*Parametros!$E$50:$E$58)+SUMPRODUCT((($C$19/2)&gt;Parametros!$B$62:$B$63)*(($C$19/2)-Parametros!$B$62:$B$63)*Parametros!$E$62:$E$63)),SUMPRODUCT(($C$19&gt;Parametros!$B$50:$B$58)*($C$19-Parametros!$B$50:$B$58)*Parametros!$E$50:$E$58)+SUMPRODUCT(($C$19&gt;Parametros!$B$62:$B$63)*($C$19-Parametros!$B$62:$B$63)*Parametros!$E$62:$E$63))</f>
        <v/>
      </c>
      <c r="D21" s="28">
        <f>IF(Inputs!$D$38=1,2*(SUMPRODUCT((($D$19/2)&gt;Parametros!$B$50:$B$58)*(($D$19/2)-Parametros!$B$50:$B$58)*Parametros!$E$50:$E$58)+SUMPRODUCT((($D$19/2)&gt;Parametros!$B$62:$B$63)*(($D$19/2)-Parametros!$B$62:$B$63)*Parametros!$E$62:$E$63)),SUMPRODUCT(($D$19&gt;Parametros!$B$50:$B$58)*($D$19-Parametros!$B$50:$B$58)*Parametros!$E$50:$E$58)+SUMPRODUCT(($D$19&gt;Parametros!$B$62:$B$63)*($D$19-Parametros!$B$62:$B$63)*Parametros!$E$62:$E$63))</f>
        <v/>
      </c>
      <c r="E21" s="28">
        <f>IF(Inputs!$E$38=1,2*(SUMPRODUCT((($E$19/2)&gt;Parametros!$B$50:$B$58)*(($E$19/2)-Parametros!$B$50:$B$58)*Parametros!$E$50:$E$58)+SUMPRODUCT((($E$19/2)&gt;Parametros!$B$62:$B$63)*(($E$19/2)-Parametros!$B$62:$B$63)*Parametros!$E$62:$E$63)),SUMPRODUCT(($E$19&gt;Parametros!$B$50:$B$58)*($E$19-Parametros!$B$50:$B$58)*Parametros!$E$50:$E$58)+SUMPRODUCT(($E$19&gt;Parametros!$B$62:$B$63)*($E$19-Parametros!$B$62:$B$63)*Parametros!$E$62:$E$63))</f>
        <v/>
      </c>
      <c r="F21" s="17" t="inlineStr"/>
    </row>
    <row r="22">
      <c r="A22" s="22" t="inlineStr">
        <is>
          <t>IRS imputável à atividade</t>
        </is>
      </c>
      <c r="B22" s="9" t="inlineStr">
        <is>
          <t>IRS_ATIV</t>
        </is>
      </c>
      <c r="C22" s="27">
        <f>$C$20-$C$21</f>
        <v/>
      </c>
      <c r="D22" s="27">
        <f>$D$20-$D$21</f>
        <v/>
      </c>
      <c r="E22" s="27">
        <f>$E$20-$E$21</f>
        <v/>
      </c>
      <c r="F22" s="17" t="inlineStr"/>
    </row>
    <row r="23">
      <c r="A23" s="8" t="inlineStr">
        <is>
          <t>IRS total do agregado, após deduções à coleta (memória)</t>
        </is>
      </c>
      <c r="B23" s="9" t="inlineStr">
        <is>
          <t>IRS_TOT</t>
        </is>
      </c>
      <c r="C23" s="28">
        <f>MAX(0,$C$20-Inputs!$C$40)</f>
        <v/>
      </c>
      <c r="D23" s="28">
        <f>MAX(0,$D$20-Inputs!$D$40)</f>
        <v/>
      </c>
      <c r="E23" s="28">
        <f>MAX(0,$E$20-Inputs!$E$40)</f>
        <v/>
      </c>
      <c r="F23" s="17" t="inlineStr">
        <is>
          <t>Não entra na comparação entre vias; serve para o enquadramento do capítulo 3.</t>
        </is>
      </c>
    </row>
    <row r="24">
      <c r="A24" s="2" t="inlineStr">
        <is>
          <t>Resultado</t>
        </is>
      </c>
      <c r="B24" s="7" t="n"/>
      <c r="C24" s="7" t="n"/>
      <c r="D24" s="7" t="n"/>
      <c r="E24" s="7" t="n"/>
      <c r="F24" s="7" t="n"/>
    </row>
    <row r="25">
      <c r="A25" s="22" t="inlineStr">
        <is>
          <t>Caixa gerada pela atividade, antes de impostos e contribuições</t>
        </is>
      </c>
      <c r="B25" s="9" t="inlineStr">
        <is>
          <t>CAIXA</t>
        </is>
      </c>
      <c r="C25" s="27">
        <f>Inputs!$C$42+Inputs!$C$43+Inputs!$C$17-(Inputs!$C$19+Inputs!$C$20+Inputs!$C$21+Inputs!$C$22+Inputs!$C$24+Inputs!$C$25+Inputs!$C$44)</f>
        <v/>
      </c>
      <c r="D25" s="27">
        <f>Inputs!$D$42+Inputs!$D$43+Inputs!$D$17-(Inputs!$D$19+Inputs!$D$20+Inputs!$D$21+Inputs!$D$22+Inputs!$D$24+Inputs!$D$25+Inputs!$D$44)</f>
        <v/>
      </c>
      <c r="E25" s="27">
        <f>Inputs!$E$42+Inputs!$E$43+Inputs!$E$17-(Inputs!$E$19+Inputs!$E$20+Inputs!$E$21+Inputs!$E$22+Inputs!$E$24+Inputs!$E$25+Inputs!$E$44)</f>
        <v/>
      </c>
      <c r="F25" s="17" t="inlineStr">
        <is>
          <t>Caixa gerada pela atividade, igual nas quatro vias por construção. Exclui o investimento inicial, que é um efeito de ano 1 e está isolado na folha IVA e na linha própria abaixo.</t>
        </is>
      </c>
    </row>
    <row r="26">
      <c r="A26" s="22" t="inlineStr">
        <is>
          <t>Total de impostos e contribuições</t>
        </is>
      </c>
      <c r="B26" s="9" t="inlineStr">
        <is>
          <t>CARGA</t>
        </is>
      </c>
      <c r="C26" s="27">
        <f>$C$22+$C$13</f>
        <v/>
      </c>
      <c r="D26" s="27">
        <f>$D$22+$D$13</f>
        <v/>
      </c>
      <c r="E26" s="27">
        <f>$E$22+$E$13</f>
        <v/>
      </c>
      <c r="F26" s="17" t="inlineStr">
        <is>
          <t>IRS imputável à atividade + contribuições para a Segurança Social.</t>
        </is>
      </c>
    </row>
    <row r="27">
      <c r="A27" s="8" t="inlineStr">
        <is>
          <t>Taxa de esforço efetiva sobre a caixa gerada</t>
        </is>
      </c>
      <c r="B27" s="9" t="inlineStr">
        <is>
          <t>TAXA_EF</t>
        </is>
      </c>
      <c r="C27" s="37">
        <f>IF($C$25&lt;=0,0,$C$26/$C$25)</f>
        <v/>
      </c>
      <c r="D27" s="37">
        <f>IF($D$25&lt;=0,0,$D$26/$D$25)</f>
        <v/>
      </c>
      <c r="E27" s="37">
        <f>IF($E$25&lt;=0,0,$E$26/$E$25)</f>
        <v/>
      </c>
      <c r="F27" s="17" t="inlineStr"/>
    </row>
    <row r="28">
      <c r="A28" s="8" t="inlineStr">
        <is>
          <t>Valor retido na sociedade (não disponibilizado à sócia)</t>
        </is>
      </c>
      <c r="B28" s="9" t="inlineStr">
        <is>
          <t>RETIDO</t>
        </is>
      </c>
      <c r="C28" s="28">
        <f>0</f>
        <v/>
      </c>
      <c r="D28" s="28">
        <f>0</f>
        <v/>
      </c>
      <c r="E28" s="28">
        <f>0</f>
        <v/>
      </c>
      <c r="F28" s="17" t="inlineStr"/>
    </row>
    <row r="29">
      <c r="A29" s="8" t="inlineStr">
        <is>
          <t>Valor atribuído ao cônjuge por via de dividendos, líquido</t>
        </is>
      </c>
      <c r="B29" s="9" t="inlineStr">
        <is>
          <t>LIQ_CJ</t>
        </is>
      </c>
      <c r="C29" s="28">
        <f>0</f>
        <v/>
      </c>
      <c r="D29" s="28">
        <f>0</f>
        <v/>
      </c>
      <c r="E29" s="28">
        <f>0</f>
        <v/>
      </c>
      <c r="F29" s="17" t="inlineStr">
        <is>
          <t>Só via 4. É uma transferência real de rendimento dentro do agregado e tem de ser explicitada — não é indiferente à sócia.</t>
        </is>
      </c>
    </row>
    <row r="30">
      <c r="A30" s="22" t="inlineStr">
        <is>
          <t>LÍQUIDO DISPONÍVEL PARA A SÓCIA</t>
        </is>
      </c>
      <c r="B30" s="9" t="inlineStr">
        <is>
          <t>LIQ_SOC</t>
        </is>
      </c>
      <c r="C30" s="27">
        <f>$C$25-$C$26-$C$28-$C$29</f>
        <v/>
      </c>
      <c r="D30" s="27">
        <f>$D$25-$D$26-$D$28-$D$29</f>
        <v/>
      </c>
      <c r="E30" s="27">
        <f>$E$25-$E$26-$E$28-$E$29</f>
        <v/>
      </c>
      <c r="F30" s="17" t="inlineStr"/>
    </row>
    <row r="31">
      <c r="A31" s="22" t="inlineStr">
        <is>
          <t>LÍQUIDO DISPONÍVEL PARA O AGREGADO</t>
        </is>
      </c>
      <c r="B31" s="9" t="inlineStr">
        <is>
          <t>LIQ_AGR</t>
        </is>
      </c>
      <c r="C31" s="27">
        <f>$C$30+$C$29</f>
        <v/>
      </c>
      <c r="D31" s="27">
        <f>$D$30+$D$29</f>
        <v/>
      </c>
      <c r="E31" s="27">
        <f>$E$30+$E$29</f>
        <v/>
      </c>
      <c r="F31" s="17" t="inlineStr"/>
    </row>
    <row r="32">
      <c r="A32" s="8" t="inlineStr">
        <is>
          <t>Memória — investimento e IVA não dedutível suportados no ano 1</t>
        </is>
      </c>
      <c r="B32" s="9" t="inlineStr">
        <is>
          <t>INV_A1</t>
        </is>
      </c>
      <c r="C32" s="28">
        <f>Inputs!$C$27+Inputs!$C$28+Inputs!$C$29+Inputs!$C$30</f>
        <v/>
      </c>
      <c r="D32" s="28">
        <f>Inputs!$D$27+Inputs!$D$28+Inputs!$D$29+Inputs!$D$30</f>
        <v/>
      </c>
      <c r="E32" s="28">
        <f>Inputs!$E$27+Inputs!$E$28+Inputs!$E$29+Inputs!$E$30</f>
        <v/>
      </c>
      <c r="F32" s="17" t="inlineStr">
        <is>
          <t>Excluído da comparação anual acima. Quantificação do IVA na folha IVA.</t>
        </is>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20"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row>
    <row r="9">
      <c r="A9" s="8" t="inlineStr">
        <is>
          <t>Amortizações do exercício</t>
        </is>
      </c>
      <c r="B9" s="9" t="inlineStr">
        <is>
          <t>AMORT</t>
        </is>
      </c>
      <c r="C9" s="28">
        <f>Inputs!$C$27*Parametros!$C$39+(Inputs!$C$28+Inputs!$C$29)*Parametros!$C$40+Inputs!$C$30*Parametros!$C$41</f>
        <v/>
      </c>
      <c r="D9" s="28">
        <f>Inputs!$D$27*Parametros!$C$39+(Inputs!$D$28+Inputs!$D$29)*Parametros!$C$40+Inputs!$D$30*Parametros!$C$41</f>
        <v/>
      </c>
      <c r="E9" s="28">
        <f>Inputs!$E$27*Parametros!$C$39+(Inputs!$E$28+Inputs!$E$29)*Parametros!$C$40+Inputs!$E$30*Parametros!$C$41</f>
        <v/>
      </c>
      <c r="F9" s="17" t="inlineStr"/>
    </row>
    <row r="10">
      <c r="A10" s="8" t="inlineStr">
        <is>
          <t>Remuneração bruta de gerência</t>
        </is>
      </c>
      <c r="B10" s="9" t="inlineStr">
        <is>
          <t>REM</t>
        </is>
      </c>
      <c r="C10" s="35">
        <f>Inputs!$C$32</f>
        <v/>
      </c>
      <c r="D10" s="35">
        <f>Inputs!$D$32</f>
        <v/>
      </c>
      <c r="E10" s="35">
        <f>Inputs!$E$32</f>
        <v/>
      </c>
      <c r="F10" s="17" t="inlineStr">
        <is>
          <t>Variável de decisão. É a única base de incidência contributiva nesta via.</t>
        </is>
      </c>
    </row>
    <row r="11">
      <c r="A11" s="8" t="inlineStr">
        <is>
          <t>Base de incidência contributiva do MOE</t>
        </is>
      </c>
      <c r="B11" s="9" t="inlineStr">
        <is>
          <t>BASE_MOE</t>
        </is>
      </c>
      <c r="C11" s="28">
        <f>MAX($C$10,Parametros!$C$6*Parametros!$C$13*12)</f>
        <v/>
      </c>
      <c r="D11" s="28">
        <f>MAX($D$10,Parametros!$C$6*Parametros!$C$13*12)</f>
        <v/>
      </c>
      <c r="E11" s="28">
        <f>MAX($E$10,Parametros!$C$6*Parametros!$C$13*12)</f>
        <v/>
      </c>
      <c r="F11" s="17" t="inlineStr">
        <is>
          <t>Base mínima de 1 x IAS por mês, mesmo com remuneração inferior ou nula.</t>
        </is>
      </c>
    </row>
    <row r="12">
      <c r="A12" s="8" t="inlineStr">
        <is>
          <t>Contribuições a cargo da sociedade</t>
        </is>
      </c>
      <c r="B12" s="9" t="inlineStr">
        <is>
          <t>TSU_ENT</t>
        </is>
      </c>
      <c r="C12" s="28">
        <f>$C$11*Parametros!$C$11</f>
        <v/>
      </c>
      <c r="D12" s="28">
        <f>$D$11*Parametros!$C$11</f>
        <v/>
      </c>
      <c r="E12" s="28">
        <f>$E$11*Parametros!$C$11</f>
        <v/>
      </c>
      <c r="F12" s="17" t="inlineStr"/>
    </row>
    <row r="13">
      <c r="A13" s="22" t="inlineStr">
        <is>
          <t>Lucro tributável</t>
        </is>
      </c>
      <c r="B13" s="9" t="inlineStr">
        <is>
          <t>LT</t>
        </is>
      </c>
      <c r="C13" s="27">
        <f>$C$6-$C$7-$C$8-$C$9-$C$10-$C$12</f>
        <v/>
      </c>
      <c r="D13" s="27">
        <f>$D$6-$D$7-$D$8-$D$9-$D$10-$D$12</f>
        <v/>
      </c>
      <c r="E13" s="27">
        <f>$E$6-$E$7-$E$8-$E$9-$E$10-$E$12</f>
        <v/>
      </c>
      <c r="F13" s="17" t="inlineStr"/>
    </row>
    <row r="14">
      <c r="A14" s="8" t="inlineStr">
        <is>
          <t>Tributações autónomas</t>
        </is>
      </c>
      <c r="B14" s="9" t="inlineStr">
        <is>
          <t>TA</t>
        </is>
      </c>
      <c r="C14" s="35">
        <f>Inputs!$C$33</f>
        <v/>
      </c>
      <c r="D14" s="35">
        <f>Inputs!$D$33</f>
        <v/>
      </c>
      <c r="E14" s="35">
        <f>Inputs!$E$33</f>
        <v/>
      </c>
      <c r="F14" s="17" t="inlineStr">
        <is>
          <t>Devidas apesar da transparência fiscal — art. 12.º CIRC ressalva as tributações autónomas.</t>
        </is>
      </c>
    </row>
    <row r="15">
      <c r="A15" s="8" t="inlineStr">
        <is>
          <t>Derrama municipal</t>
        </is>
      </c>
      <c r="B15" s="9" t="inlineStr">
        <is>
          <t>DERR</t>
        </is>
      </c>
      <c r="C15" s="28">
        <f>MAX($C$13,0)*Parametros!$C$31*Parametros!$C$32</f>
        <v/>
      </c>
      <c r="D15" s="28">
        <f>MAX($D$13,0)*Parametros!$C$31*Parametros!$C$32</f>
        <v/>
      </c>
      <c r="E15" s="28">
        <f>MAX($E$13,0)*Parametros!$C$31*Parametros!$C$32</f>
        <v/>
      </c>
      <c r="F15" s="17"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7">
        <f>MAX($C$13,0)</f>
        <v/>
      </c>
      <c r="D16" s="27">
        <f>MAX($D$13,0)</f>
        <v/>
      </c>
      <c r="E16" s="27">
        <f>MAX($E$13,0)</f>
        <v/>
      </c>
      <c r="F16" s="17"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8">
        <f>$C$11*Parametros!$C$12</f>
        <v/>
      </c>
      <c r="D18" s="28">
        <f>$D$11*Parametros!$C$12</f>
        <v/>
      </c>
      <c r="E18" s="28">
        <f>$E$11*Parametros!$C$12</f>
        <v/>
      </c>
      <c r="F18" s="17" t="inlineStr"/>
    </row>
    <row r="19">
      <c r="A19" s="8" t="inlineStr">
        <is>
          <t>Dedução específica da categoria A</t>
        </is>
      </c>
      <c r="B19" s="9" t="inlineStr">
        <is>
          <t>DED_A</t>
        </is>
      </c>
      <c r="C19" s="28">
        <f>MIN($C$10,MAX(Parametros!$C$25,$C$18))</f>
        <v/>
      </c>
      <c r="D19" s="28">
        <f>MIN($D$10,MAX(Parametros!$C$25,$D$18))</f>
        <v/>
      </c>
      <c r="E19" s="28">
        <f>MIN($E$10,MAX(Parametros!$C$25,$E$18))</f>
        <v/>
      </c>
      <c r="F19" s="17" t="inlineStr">
        <is>
          <t>Art. 25.º n.º 1 al. a) e n.º 2 CIRS: o maior entre 4.104 € e as contribuições, com o limite do próprio rendimento.</t>
        </is>
      </c>
    </row>
    <row r="20">
      <c r="A20" s="8" t="inlineStr">
        <is>
          <t>Rendimento líquido da categoria A</t>
        </is>
      </c>
      <c r="B20" s="9" t="inlineStr">
        <is>
          <t>RL_CATA</t>
        </is>
      </c>
      <c r="C20" s="28">
        <f>MAX(0,$C$10-$C$19)</f>
        <v/>
      </c>
      <c r="D20" s="28">
        <f>MAX(0,$D$10-$D$19)</f>
        <v/>
      </c>
      <c r="E20" s="28">
        <f>MAX(0,$E$10-$E$19)</f>
        <v/>
      </c>
      <c r="F20" s="17" t="inlineStr"/>
    </row>
    <row r="21">
      <c r="A21" s="2" t="inlineStr">
        <is>
          <t>IRS do agregado</t>
        </is>
      </c>
      <c r="B21" s="7" t="n"/>
      <c r="C21" s="7" t="n"/>
      <c r="D21" s="7" t="n"/>
      <c r="E21" s="7" t="n"/>
      <c r="F21" s="7" t="n"/>
    </row>
    <row r="22">
      <c r="A22" s="22" t="inlineStr">
        <is>
          <t>Rendimento da sócia sujeito a englobamento</t>
        </is>
      </c>
      <c r="B22" s="9" t="inlineStr">
        <is>
          <t>R_JUL</t>
        </is>
      </c>
      <c r="C22" s="27">
        <f>$C$20+$C$16</f>
        <v/>
      </c>
      <c r="D22" s="27">
        <f>$D$20+$D$16</f>
        <v/>
      </c>
      <c r="E22" s="27">
        <f>$E$20+$E$16</f>
        <v/>
      </c>
      <c r="F22" s="17" t="inlineStr">
        <is>
          <t>Categoria A (remuneração de gerência) + categoria B (lucro imputado, art. 20.º CIRS).</t>
        </is>
      </c>
    </row>
    <row r="23">
      <c r="A23" s="8" t="inlineStr">
        <is>
          <t>Rendimento do cônjuge fora da estrutura</t>
        </is>
      </c>
      <c r="B23" s="9" t="inlineStr">
        <is>
          <t>R_CONJ</t>
        </is>
      </c>
      <c r="C23" s="35">
        <f>Inputs!$C$37</f>
        <v/>
      </c>
      <c r="D23" s="35">
        <f>Inputs!$D$37</f>
        <v/>
      </c>
      <c r="E23" s="35">
        <f>Inputs!$E$37</f>
        <v/>
      </c>
      <c r="F23" s="17" t="inlineStr"/>
    </row>
    <row r="24">
      <c r="A24" s="8" t="inlineStr">
        <is>
          <t>Rendimento coletável do agregado — com a atividade</t>
        </is>
      </c>
      <c r="B24" s="9" t="inlineStr">
        <is>
          <t>RC_COM</t>
        </is>
      </c>
      <c r="C24" s="28">
        <f>$C$22+$C$23</f>
        <v/>
      </c>
      <c r="D24" s="28">
        <f>$D$22+$D$23</f>
        <v/>
      </c>
      <c r="E24" s="28">
        <f>$E$22+$E$23</f>
        <v/>
      </c>
      <c r="F24" s="17" t="inlineStr"/>
    </row>
    <row r="25">
      <c r="A25" s="8" t="inlineStr">
        <is>
          <t>Rendimento coletável do agregado — sem a atividade</t>
        </is>
      </c>
      <c r="B25" s="9" t="inlineStr">
        <is>
          <t>RC_SEM</t>
        </is>
      </c>
      <c r="C25" s="28">
        <f>$C$23</f>
        <v/>
      </c>
      <c r="D25" s="28">
        <f>$D$23</f>
        <v/>
      </c>
      <c r="E25" s="28">
        <f>$E$23</f>
        <v/>
      </c>
      <c r="F25" s="17" t="inlineStr">
        <is>
          <t>Contrafactual. O diferencial entre as duas coletas é o IRS realmente imputável à atividade e é o que torna as quatro vias comparáveis.</t>
        </is>
      </c>
    </row>
    <row r="26">
      <c r="A26" s="8" t="inlineStr">
        <is>
          <t>Coleta com a atividade (incl. taxa adicional de solidariedade)</t>
        </is>
      </c>
      <c r="B26" s="9" t="inlineStr">
        <is>
          <t>COL_COM</t>
        </is>
      </c>
      <c r="C26" s="28">
        <f>IF(Inputs!$C$38=1,2*(SUMPRODUCT((($C$24/2)&gt;Parametros!$B$50:$B$58)*(($C$24/2)-Parametros!$B$50:$B$58)*Parametros!$E$50:$E$58)+SUMPRODUCT((($C$24/2)&gt;Parametros!$B$62:$B$63)*(($C$24/2)-Parametros!$B$62:$B$63)*Parametros!$E$62:$E$63)),SUMPRODUCT(($C$24&gt;Parametros!$B$50:$B$58)*($C$24-Parametros!$B$50:$B$58)*Parametros!$E$50:$E$58)+SUMPRODUCT(($C$24&gt;Parametros!$B$62:$B$63)*($C$24-Parametros!$B$62:$B$63)*Parametros!$E$62:$E$63))</f>
        <v/>
      </c>
      <c r="D26" s="28">
        <f>IF(Inputs!$D$38=1,2*(SUMPRODUCT((($D$24/2)&gt;Parametros!$B$50:$B$58)*(($D$24/2)-Parametros!$B$50:$B$58)*Parametros!$E$50:$E$58)+SUMPRODUCT((($D$24/2)&gt;Parametros!$B$62:$B$63)*(($D$24/2)-Parametros!$B$62:$B$63)*Parametros!$E$62:$E$63)),SUMPRODUCT(($D$24&gt;Parametros!$B$50:$B$58)*($D$24-Parametros!$B$50:$B$58)*Parametros!$E$50:$E$58)+SUMPRODUCT(($D$24&gt;Parametros!$B$62:$B$63)*($D$24-Parametros!$B$62:$B$63)*Parametros!$E$62:$E$63))</f>
        <v/>
      </c>
      <c r="E26" s="28">
        <f>IF(Inputs!$E$38=1,2*(SUMPRODUCT((($E$24/2)&gt;Parametros!$B$50:$B$58)*(($E$24/2)-Parametros!$B$50:$B$58)*Parametros!$E$50:$E$58)+SUMPRODUCT((($E$24/2)&gt;Parametros!$B$62:$B$63)*(($E$24/2)-Parametros!$B$62:$B$63)*Parametros!$E$62:$E$63)),SUMPRODUCT(($E$24&gt;Parametros!$B$50:$B$58)*($E$24-Parametros!$B$50:$B$58)*Parametros!$E$50:$E$58)+SUMPRODUCT(($E$24&gt;Parametros!$B$62:$B$63)*($E$24-Parametros!$B$62:$B$63)*Parametros!$E$62:$E$63))</f>
        <v/>
      </c>
      <c r="F26" s="17" t="inlineStr">
        <is>
          <t>Escalões e quociente conjugal na folha Parâmetros. Art. 68.º, 68.º-A e 69.º CIRS.</t>
        </is>
      </c>
    </row>
    <row r="27">
      <c r="A27" s="8" t="inlineStr">
        <is>
          <t>Coleta sem a atividade</t>
        </is>
      </c>
      <c r="B27" s="9" t="inlineStr">
        <is>
          <t>COL_SEM</t>
        </is>
      </c>
      <c r="C27" s="28">
        <f>IF(Inputs!$C$38=1,2*(SUMPRODUCT((($C$25/2)&gt;Parametros!$B$50:$B$58)*(($C$25/2)-Parametros!$B$50:$B$58)*Parametros!$E$50:$E$58)+SUMPRODUCT((($C$25/2)&gt;Parametros!$B$62:$B$63)*(($C$25/2)-Parametros!$B$62:$B$63)*Parametros!$E$62:$E$63)),SUMPRODUCT(($C$25&gt;Parametros!$B$50:$B$58)*($C$25-Parametros!$B$50:$B$58)*Parametros!$E$50:$E$58)+SUMPRODUCT(($C$25&gt;Parametros!$B$62:$B$63)*($C$25-Parametros!$B$62:$B$63)*Parametros!$E$62:$E$63))</f>
        <v/>
      </c>
      <c r="D27" s="28">
        <f>IF(Inputs!$D$38=1,2*(SUMPRODUCT((($D$25/2)&gt;Parametros!$B$50:$B$58)*(($D$25/2)-Parametros!$B$50:$B$58)*Parametros!$E$50:$E$58)+SUMPRODUCT((($D$25/2)&gt;Parametros!$B$62:$B$63)*(($D$25/2)-Parametros!$B$62:$B$63)*Parametros!$E$62:$E$63)),SUMPRODUCT(($D$25&gt;Parametros!$B$50:$B$58)*($D$25-Parametros!$B$50:$B$58)*Parametros!$E$50:$E$58)+SUMPRODUCT(($D$25&gt;Parametros!$B$62:$B$63)*($D$25-Parametros!$B$62:$B$63)*Parametros!$E$62:$E$63))</f>
        <v/>
      </c>
      <c r="E27" s="28">
        <f>IF(Inputs!$E$38=1,2*(SUMPRODUCT((($E$25/2)&gt;Parametros!$B$50:$B$58)*(($E$25/2)-Parametros!$B$50:$B$58)*Parametros!$E$50:$E$58)+SUMPRODUCT((($E$25/2)&gt;Parametros!$B$62:$B$63)*(($E$25/2)-Parametros!$B$62:$B$63)*Parametros!$E$62:$E$63)),SUMPRODUCT(($E$25&gt;Parametros!$B$50:$B$58)*($E$25-Parametros!$B$50:$B$58)*Parametros!$E$50:$E$58)+SUMPRODUCT(($E$25&gt;Parametros!$B$62:$B$63)*($E$25-Parametros!$B$62:$B$63)*Parametros!$E$62:$E$63))</f>
        <v/>
      </c>
      <c r="F27" s="17" t="inlineStr"/>
    </row>
    <row r="28">
      <c r="A28" s="22" t="inlineStr">
        <is>
          <t>IRS imputável à atividade</t>
        </is>
      </c>
      <c r="B28" s="9" t="inlineStr">
        <is>
          <t>IRS_ATIV</t>
        </is>
      </c>
      <c r="C28" s="27">
        <f>$C$26-$C$27</f>
        <v/>
      </c>
      <c r="D28" s="27">
        <f>$D$26-$D$27</f>
        <v/>
      </c>
      <c r="E28" s="27">
        <f>$E$26-$E$27</f>
        <v/>
      </c>
      <c r="F28" s="17" t="inlineStr"/>
    </row>
    <row r="29">
      <c r="A29" s="8" t="inlineStr">
        <is>
          <t>IRS total do agregado, após deduções à coleta (memória)</t>
        </is>
      </c>
      <c r="B29" s="9" t="inlineStr">
        <is>
          <t>IRS_TOT</t>
        </is>
      </c>
      <c r="C29" s="28">
        <f>MAX(0,$C$26-Inputs!$C$40)</f>
        <v/>
      </c>
      <c r="D29" s="28">
        <f>MAX(0,$D$26-Inputs!$D$40)</f>
        <v/>
      </c>
      <c r="E29" s="28">
        <f>MAX(0,$E$26-Inputs!$E$40)</f>
        <v/>
      </c>
      <c r="F29" s="17" t="inlineStr">
        <is>
          <t>Não entra na comparação entre vias; serve para o enquadramento do capítulo 3.</t>
        </is>
      </c>
    </row>
    <row r="30">
      <c r="A30" s="2" t="inlineStr">
        <is>
          <t>Resultado</t>
        </is>
      </c>
      <c r="B30" s="7" t="n"/>
      <c r="C30" s="7" t="n"/>
      <c r="D30" s="7" t="n"/>
      <c r="E30" s="7" t="n"/>
      <c r="F30" s="7" t="n"/>
    </row>
    <row r="31">
      <c r="A31" s="22" t="inlineStr">
        <is>
          <t>Caixa gerada pela atividade, antes de impostos e contribuições</t>
        </is>
      </c>
      <c r="B31" s="9" t="inlineStr">
        <is>
          <t>CAIXA</t>
        </is>
      </c>
      <c r="C31" s="27">
        <f>Inputs!$C$42+Inputs!$C$43+Inputs!$C$17-(Inputs!$C$19+Inputs!$C$20+Inputs!$C$21+Inputs!$C$22+Inputs!$C$24+Inputs!$C$25+Inputs!$C$44)</f>
        <v/>
      </c>
      <c r="D31" s="27">
        <f>Inputs!$D$42+Inputs!$D$43+Inputs!$D$17-(Inputs!$D$19+Inputs!$D$20+Inputs!$D$21+Inputs!$D$22+Inputs!$D$24+Inputs!$D$25+Inputs!$D$44)</f>
        <v/>
      </c>
      <c r="E31" s="27">
        <f>Inputs!$E$42+Inputs!$E$43+Inputs!$E$17-(Inputs!$E$19+Inputs!$E$20+Inputs!$E$21+Inputs!$E$22+Inputs!$E$24+Inputs!$E$25+Inputs!$E$44)</f>
        <v/>
      </c>
      <c r="F31" s="17" t="inlineStr">
        <is>
          <t>Caixa gerada pela atividade, igual nas quatro vias por construção. Exclui o investimento inicial, que é um efeito de ano 1 e está isolado na folha IVA e na linha própria abaixo.</t>
        </is>
      </c>
    </row>
    <row r="32">
      <c r="A32" s="22" t="inlineStr">
        <is>
          <t>Total de impostos e contribuições</t>
        </is>
      </c>
      <c r="B32" s="9" t="inlineStr">
        <is>
          <t>CARGA</t>
        </is>
      </c>
      <c r="C32" s="27">
        <f>$C$28+$C$18+$C$12+$C$14+$C$15</f>
        <v/>
      </c>
      <c r="D32" s="27">
        <f>$D$28+$D$18+$D$12+$D$14+$D$15</f>
        <v/>
      </c>
      <c r="E32" s="27">
        <f>$E$28+$E$18+$E$12+$E$14+$E$15</f>
        <v/>
      </c>
      <c r="F32" s="17" t="inlineStr">
        <is>
          <t>IRS imputável + contribuições da sócia + contribuições da sociedade + tributações autónomas + derrama. A distribuição do lucro já imputado não é novamente tributada.</t>
        </is>
      </c>
    </row>
    <row r="33">
      <c r="A33" s="8" t="inlineStr">
        <is>
          <t>Taxa de esforço efetiva sobre a caixa gerada</t>
        </is>
      </c>
      <c r="B33" s="9" t="inlineStr">
        <is>
          <t>TAXA_EF</t>
        </is>
      </c>
      <c r="C33" s="37">
        <f>IF($C$31&lt;=0,0,$C$32/$C$31)</f>
        <v/>
      </c>
      <c r="D33" s="37">
        <f>IF($D$31&lt;=0,0,$D$32/$D$31)</f>
        <v/>
      </c>
      <c r="E33" s="37">
        <f>IF($E$31&lt;=0,0,$E$32/$E$31)</f>
        <v/>
      </c>
      <c r="F33" s="17" t="inlineStr"/>
    </row>
    <row r="34">
      <c r="A34" s="8" t="inlineStr">
        <is>
          <t>Valor retido na sociedade (não disponibilizado à sócia)</t>
        </is>
      </c>
      <c r="B34" s="9" t="inlineStr">
        <is>
          <t>RETIDO</t>
        </is>
      </c>
      <c r="C34" s="28">
        <f>MAX(0,(Inputs!$C$42+Inputs!$C$43+Inputs!$C$17-(Inputs!$C$19+Inputs!$C$20+Inputs!$C$21+Inputs!$C$22+Inputs!$C$24+Inputs!$C$25+Inputs!$C$44))-$C$10-$C$12-$C$14-$C$15)*(1-Inputs!$C$34)</f>
        <v/>
      </c>
      <c r="D34" s="28">
        <f>MAX(0,(Inputs!$D$42+Inputs!$D$43+Inputs!$D$17-(Inputs!$D$19+Inputs!$D$20+Inputs!$D$21+Inputs!$D$22+Inputs!$D$24+Inputs!$D$25+Inputs!$D$44))-$D$10-$D$12-$D$14-$D$15)*(1-Inputs!$D$34)</f>
        <v/>
      </c>
      <c r="E34" s="28">
        <f>MAX(0,(Inputs!$E$42+Inputs!$E$43+Inputs!$E$17-(Inputs!$E$19+Inputs!$E$20+Inputs!$E$21+Inputs!$E$22+Inputs!$E$24+Inputs!$E$25+Inputs!$E$44))-$E$10-$E$12-$E$14-$E$15)*(1-Inputs!$E$34)</f>
        <v/>
      </c>
      <c r="F34" s="17" t="inlineStr"/>
    </row>
    <row r="35">
      <c r="A35" s="8" t="inlineStr">
        <is>
          <t>Valor atribuído ao cônjuge por via de dividendos, líquido</t>
        </is>
      </c>
      <c r="B35" s="9" t="inlineStr">
        <is>
          <t>LIQ_CJ</t>
        </is>
      </c>
      <c r="C35" s="28">
        <f>0</f>
        <v/>
      </c>
      <c r="D35" s="28">
        <f>0</f>
        <v/>
      </c>
      <c r="E35" s="28">
        <f>0</f>
        <v/>
      </c>
      <c r="F35" s="17" t="inlineStr">
        <is>
          <t>Só via 4. É uma transferência real de rendimento dentro do agregado e tem de ser explicitada — não é indiferente à sócia.</t>
        </is>
      </c>
    </row>
    <row r="36">
      <c r="A36" s="22" t="inlineStr">
        <is>
          <t>LÍQUIDO DISPONÍVEL PARA A SÓCIA</t>
        </is>
      </c>
      <c r="B36" s="9" t="inlineStr">
        <is>
          <t>LIQ_SOC</t>
        </is>
      </c>
      <c r="C36" s="27">
        <f>$C$31-$C$32-$C$34-$C$35</f>
        <v/>
      </c>
      <c r="D36" s="27">
        <f>$D$31-$D$32-$D$34-$D$35</f>
        <v/>
      </c>
      <c r="E36" s="27">
        <f>$E$31-$E$32-$E$34-$E$35</f>
        <v/>
      </c>
      <c r="F36" s="17" t="inlineStr"/>
    </row>
    <row r="37">
      <c r="A37" s="22" t="inlineStr">
        <is>
          <t>LÍQUIDO DISPONÍVEL PARA O AGREGADO</t>
        </is>
      </c>
      <c r="B37" s="9" t="inlineStr">
        <is>
          <t>LIQ_AGR</t>
        </is>
      </c>
      <c r="C37" s="27">
        <f>$C$36+$C$35</f>
        <v/>
      </c>
      <c r="D37" s="27">
        <f>$D$36+$D$35</f>
        <v/>
      </c>
      <c r="E37" s="27">
        <f>$E$36+$E$35</f>
        <v/>
      </c>
      <c r="F37" s="17" t="inlineStr"/>
    </row>
    <row r="38">
      <c r="A38" s="8" t="inlineStr">
        <is>
          <t>Memória — investimento e IVA não dedutível suportados no ano 1</t>
        </is>
      </c>
      <c r="B38" s="9" t="inlineStr">
        <is>
          <t>INV_A1</t>
        </is>
      </c>
      <c r="C38" s="28">
        <f>Inputs!$C$27+Inputs!$C$28+Inputs!$C$29+Inputs!$C$30</f>
        <v/>
      </c>
      <c r="D38" s="28">
        <f>Inputs!$D$27+Inputs!$D$28+Inputs!$D$29+Inputs!$D$30</f>
        <v/>
      </c>
      <c r="E38" s="28">
        <f>Inputs!$E$27+Inputs!$E$28+Inputs!$E$29+Inputs!$E$30</f>
        <v/>
      </c>
      <c r="F38" s="17" t="inlineStr">
        <is>
          <t>Excluído da comparação anual acima. Quantificação do IVA na folha IVA.</t>
        </is>
      </c>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20"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35">
        <f>Inputs!$C$42+IF(Inputs!$C$16=1,0,Inputs!$C$43)</f>
        <v/>
      </c>
      <c r="D6" s="35">
        <f>Inputs!$D$42+IF(Inputs!$D$16=1,0,Inputs!$D$43)</f>
        <v/>
      </c>
      <c r="E6" s="35">
        <f>Inputs!$E$42+IF(Inputs!$E$16=1,0,Inputs!$E$43)</f>
        <v/>
      </c>
      <c r="F6" s="17" t="inlineStr"/>
    </row>
    <row r="7">
      <c r="A7" s="8" t="inlineStr">
        <is>
          <t>Receita sujeita a IVA (cônjuge e/ou cedência tributada)</t>
        </is>
      </c>
      <c r="B7" s="9" t="inlineStr">
        <is>
          <t>FAT_T</t>
        </is>
      </c>
      <c r="C7" s="35">
        <f>Inputs!$C$47</f>
        <v/>
      </c>
      <c r="D7" s="35">
        <f>Inputs!$D$47</f>
        <v/>
      </c>
      <c r="E7" s="35">
        <f>Inputs!$E$47</f>
        <v/>
      </c>
      <c r="F7" s="17" t="inlineStr"/>
    </row>
    <row r="8">
      <c r="A8" s="8" t="inlineStr">
        <is>
          <t>Custos operacionais (excl. honorários)</t>
        </is>
      </c>
      <c r="B8" s="9" t="inlineStr">
        <is>
          <t>C_OP</t>
        </is>
      </c>
      <c r="C8" s="35">
        <f>Inputs!$C$19+Inputs!$C$20+Inputs!$C$21+Inputs!$C$22+Inputs!$C$24+Inputs!$C$25</f>
        <v/>
      </c>
      <c r="D8" s="35">
        <f>Inputs!$D$19+Inputs!$D$20+Inputs!$D$21+Inputs!$D$22+Inputs!$D$24+Inputs!$D$25</f>
        <v/>
      </c>
      <c r="E8" s="35">
        <f>Inputs!$E$19+Inputs!$E$20+Inputs!$E$21+Inputs!$E$22+Inputs!$E$24+Inputs!$E$25</f>
        <v/>
      </c>
      <c r="F8" s="17" t="inlineStr"/>
    </row>
    <row r="9">
      <c r="A9" s="8" t="inlineStr">
        <is>
          <t>Custo com os colaboradores</t>
        </is>
      </c>
      <c r="B9" s="9" t="inlineStr">
        <is>
          <t>C_HON</t>
        </is>
      </c>
      <c r="C9" s="35">
        <f>Inputs!$C$44</f>
        <v/>
      </c>
      <c r="D9" s="35">
        <f>Inputs!$D$44</f>
        <v/>
      </c>
      <c r="E9" s="35">
        <f>Inputs!$E$44</f>
        <v/>
      </c>
      <c r="F9" s="17" t="inlineStr"/>
    </row>
    <row r="10">
      <c r="A10" s="8" t="inlineStr">
        <is>
          <t>Amortizações do exercício</t>
        </is>
      </c>
      <c r="B10" s="9" t="inlineStr">
        <is>
          <t>AMORT</t>
        </is>
      </c>
      <c r="C10" s="28">
        <f>Inputs!$C$27*Parametros!$C$39+(Inputs!$C$28+Inputs!$C$29)*Parametros!$C$40+Inputs!$C$30*Parametros!$C$41</f>
        <v/>
      </c>
      <c r="D10" s="28">
        <f>Inputs!$D$27*Parametros!$C$39+(Inputs!$D$28+Inputs!$D$29)*Parametros!$C$40+Inputs!$D$30*Parametros!$C$41</f>
        <v/>
      </c>
      <c r="E10" s="28">
        <f>Inputs!$E$27*Parametros!$C$39+(Inputs!$E$28+Inputs!$E$29)*Parametros!$C$40+Inputs!$E$30*Parametros!$C$41</f>
        <v/>
      </c>
      <c r="F10" s="17" t="inlineStr"/>
    </row>
    <row r="11">
      <c r="A11" s="8" t="inlineStr">
        <is>
          <t>Remuneração bruta de gerência</t>
        </is>
      </c>
      <c r="B11" s="9" t="inlineStr">
        <is>
          <t>REM</t>
        </is>
      </c>
      <c r="C11" s="35">
        <f>Inputs!$C$32</f>
        <v/>
      </c>
      <c r="D11" s="35">
        <f>Inputs!$D$32</f>
        <v/>
      </c>
      <c r="E11" s="35">
        <f>Inputs!$E$32</f>
        <v/>
      </c>
      <c r="F11" s="17" t="inlineStr"/>
    </row>
    <row r="12">
      <c r="A12" s="8" t="inlineStr">
        <is>
          <t>Base de incidência contributiva do MOE</t>
        </is>
      </c>
      <c r="B12" s="9" t="inlineStr">
        <is>
          <t>BASE_MOE</t>
        </is>
      </c>
      <c r="C12" s="28">
        <f>MAX($C$11,Parametros!$C$6*Parametros!$C$13*12)</f>
        <v/>
      </c>
      <c r="D12" s="28">
        <f>MAX($D$11,Parametros!$C$6*Parametros!$C$13*12)</f>
        <v/>
      </c>
      <c r="E12" s="28">
        <f>MAX($E$11,Parametros!$C$6*Parametros!$C$13*12)</f>
        <v/>
      </c>
      <c r="F12" s="17" t="inlineStr"/>
    </row>
    <row r="13">
      <c r="A13" s="8" t="inlineStr">
        <is>
          <t>Contribuições a cargo da sociedade</t>
        </is>
      </c>
      <c r="B13" s="9" t="inlineStr">
        <is>
          <t>TSU_ENT</t>
        </is>
      </c>
      <c r="C13" s="28">
        <f>$C$12*Parametros!$C$11</f>
        <v/>
      </c>
      <c r="D13" s="28">
        <f>$D$12*Parametros!$C$11</f>
        <v/>
      </c>
      <c r="E13" s="28">
        <f>$E$12*Parametros!$C$11</f>
        <v/>
      </c>
      <c r="F13" s="17" t="inlineStr"/>
    </row>
    <row r="14">
      <c r="A14" s="22" t="inlineStr">
        <is>
          <t>Lucro tributável</t>
        </is>
      </c>
      <c r="B14" s="9" t="inlineStr">
        <is>
          <t>LT</t>
        </is>
      </c>
      <c r="C14" s="27">
        <f>$C$6+$C$7-$C$8-$C$9-$C$10-$C$11-$C$13</f>
        <v/>
      </c>
      <c r="D14" s="27">
        <f>$D$6+$D$7-$D$8-$D$9-$D$10-$D$11-$D$13</f>
        <v/>
      </c>
      <c r="E14" s="27">
        <f>$E$6+$E$7-$E$8-$E$9-$E$10-$E$11-$E$13</f>
        <v/>
      </c>
      <c r="F14" s="17" t="inlineStr"/>
    </row>
    <row r="15">
      <c r="A15" s="8" t="inlineStr">
        <is>
          <t>IRC</t>
        </is>
      </c>
      <c r="B15" s="9" t="inlineStr">
        <is>
          <t>IRC</t>
        </is>
      </c>
      <c r="C15" s="28">
        <f>MIN(MAX($C$14,0),Parametros!$C$29)*Parametros!$C$28+MAX(0,MAX($C$14,0)-Parametros!$C$29)*Parametros!$C$30</f>
        <v/>
      </c>
      <c r="D15" s="28">
        <f>MIN(MAX($D$14,0),Parametros!$C$29)*Parametros!$C$28+MAX(0,MAX($D$14,0)-Parametros!$C$29)*Parametros!$C$30</f>
        <v/>
      </c>
      <c r="E15" s="28">
        <f>MIN(MAX($E$14,0),Parametros!$C$29)*Parametros!$C$28+MAX(0,MAX($E$14,0)-Parametros!$C$29)*Parametros!$C$30</f>
        <v/>
      </c>
      <c r="F15" s="17" t="inlineStr">
        <is>
          <t>Art. 87.º n.º 1 e 2 CIRC. Taxas de 2026 por confirmar — ver R1-11. O primeiro escalão só é aplicável se a sociedade qualificar como PME.</t>
        </is>
      </c>
    </row>
    <row r="16">
      <c r="A16" s="8" t="inlineStr">
        <is>
          <t>Derrama municipal</t>
        </is>
      </c>
      <c r="B16" s="9" t="inlineStr">
        <is>
          <t>DERR</t>
        </is>
      </c>
      <c r="C16" s="28">
        <f>MAX($C$14,0)*Parametros!$C$31</f>
        <v/>
      </c>
      <c r="D16" s="28">
        <f>MAX($D$14,0)*Parametros!$C$31</f>
        <v/>
      </c>
      <c r="E16" s="28">
        <f>MAX($E$14,0)*Parametros!$C$31</f>
        <v/>
      </c>
      <c r="F16" s="17" t="inlineStr">
        <is>
          <t>Confirmar a taxa e eventual isenção do município para volume de negócios reduzido.</t>
        </is>
      </c>
    </row>
    <row r="17">
      <c r="A17" s="8" t="inlineStr">
        <is>
          <t>Tributações autónomas</t>
        </is>
      </c>
      <c r="B17" s="9" t="inlineStr">
        <is>
          <t>TA</t>
        </is>
      </c>
      <c r="C17" s="35">
        <f>Inputs!$C$33</f>
        <v/>
      </c>
      <c r="D17" s="35">
        <f>Inputs!$D$33</f>
        <v/>
      </c>
      <c r="E17" s="35">
        <f>Inputs!$E$33</f>
        <v/>
      </c>
      <c r="F17" s="17" t="inlineStr"/>
    </row>
    <row r="18">
      <c r="A18" s="22" t="inlineStr">
        <is>
          <t>Lucro após imposto</t>
        </is>
      </c>
      <c r="B18" s="9" t="inlineStr">
        <is>
          <t>LUCRO_LIQ</t>
        </is>
      </c>
      <c r="C18" s="27">
        <f>$C$14-$C$15-$C$16-$C$17</f>
        <v/>
      </c>
      <c r="D18" s="27">
        <f>$D$14-$D$15-$D$16-$D$17</f>
        <v/>
      </c>
      <c r="E18" s="27">
        <f>$E$14-$E$15-$E$16-$E$17</f>
        <v/>
      </c>
      <c r="F18" s="17" t="inlineStr"/>
    </row>
    <row r="19">
      <c r="A19" s="2" t="inlineStr">
        <is>
          <t>Distribuição de resultados</t>
        </is>
      </c>
      <c r="B19" s="7" t="n"/>
      <c r="C19" s="7" t="n"/>
      <c r="D19" s="7" t="n"/>
      <c r="E19" s="7" t="n"/>
      <c r="F19" s="7" t="n"/>
    </row>
    <row r="20">
      <c r="A20" s="8" t="inlineStr">
        <is>
          <t>Caixa distribuível</t>
        </is>
      </c>
      <c r="B20" s="9" t="inlineStr">
        <is>
          <t>CX_DIST</t>
        </is>
      </c>
      <c r="C20" s="28">
        <f>MAX(0,(Inputs!$C$42+Inputs!$C$43+Inputs!$C$17-(Inputs!$C$19+Inputs!$C$20+Inputs!$C$21+Inputs!$C$22+Inputs!$C$24+Inputs!$C$25+Inputs!$C$44))-$C$11-$C$13-$C$15-$C$16-$C$17)</f>
        <v/>
      </c>
      <c r="D20" s="28">
        <f>MAX(0,(Inputs!$D$42+Inputs!$D$43+Inputs!$D$17-(Inputs!$D$19+Inputs!$D$20+Inputs!$D$21+Inputs!$D$22+Inputs!$D$24+Inputs!$D$25+Inputs!$D$44))-$D$11-$D$13-$D$15-$D$16-$D$17)</f>
        <v/>
      </c>
      <c r="E20" s="28">
        <f>MAX(0,(Inputs!$E$42+Inputs!$E$43+Inputs!$E$17-(Inputs!$E$19+Inputs!$E$20+Inputs!$E$21+Inputs!$E$22+Inputs!$E$24+Inputs!$E$25+Inputs!$E$44))-$E$11-$E$13-$E$15-$E$16-$E$17)</f>
        <v/>
      </c>
      <c r="F20" s="17"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36">
        <f>Inputs!$C$34</f>
        <v/>
      </c>
      <c r="D21" s="36">
        <f>Inputs!$D$34</f>
        <v/>
      </c>
      <c r="E21" s="36">
        <f>Inputs!$E$34</f>
        <v/>
      </c>
      <c r="F21" s="17" t="inlineStr">
        <is>
          <t>ALAVANCA PRINCIPAL desta via. A 0% de distribuição a via 4 domina; a 100% pode inverter-se.</t>
        </is>
      </c>
    </row>
    <row r="22">
      <c r="A22" s="8" t="inlineStr">
        <is>
          <t>Montante distribuído</t>
        </is>
      </c>
      <c r="B22" s="9" t="inlineStr">
        <is>
          <t>DIST</t>
        </is>
      </c>
      <c r="C22" s="28">
        <f>$C$20*$C$21</f>
        <v/>
      </c>
      <c r="D22" s="28">
        <f>$D$20*$D$21</f>
        <v/>
      </c>
      <c r="E22" s="28">
        <f>$E$20*$E$21</f>
        <v/>
      </c>
      <c r="F22" s="17" t="inlineStr"/>
    </row>
    <row r="23">
      <c r="A23" s="8" t="inlineStr">
        <is>
          <t>% do capital detida pelo cônjuge</t>
        </is>
      </c>
      <c r="B23" s="9" t="inlineStr">
        <is>
          <t>PCT_CJ</t>
        </is>
      </c>
      <c r="C23" s="36">
        <f>Inputs!$C$35</f>
        <v/>
      </c>
      <c r="D23" s="36">
        <f>Inputs!$D$35</f>
        <v/>
      </c>
      <c r="E23" s="36">
        <f>Inputs!$E$35</f>
        <v/>
      </c>
      <c r="F23" s="17" t="inlineStr"/>
    </row>
    <row r="24">
      <c r="A24" s="8" t="inlineStr">
        <is>
          <t>Dividendo atribuído à sócia</t>
        </is>
      </c>
      <c r="B24" s="9" t="inlineStr">
        <is>
          <t>DIV_JUL</t>
        </is>
      </c>
      <c r="C24" s="28">
        <f>$C$22*(1-$C$23)</f>
        <v/>
      </c>
      <c r="D24" s="28">
        <f>$D$22*(1-$D$23)</f>
        <v/>
      </c>
      <c r="E24" s="28">
        <f>$E$22*(1-$E$23)</f>
        <v/>
      </c>
      <c r="F24" s="17" t="inlineStr"/>
    </row>
    <row r="25">
      <c r="A25" s="8" t="inlineStr">
        <is>
          <t>Dividendo atribuído ao cônjuge</t>
        </is>
      </c>
      <c r="B25" s="9" t="inlineStr">
        <is>
          <t>DIV_CJ</t>
        </is>
      </c>
      <c r="C25" s="28">
        <f>$C$22*$C$23</f>
        <v/>
      </c>
      <c r="D25" s="28">
        <f>$D$22*$D$23</f>
        <v/>
      </c>
      <c r="E25" s="28">
        <f>$E$22*$E$23</f>
        <v/>
      </c>
      <c r="F25" s="17"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8" t="n">
        <v>0</v>
      </c>
      <c r="D26" s="38" t="n">
        <v>0</v>
      </c>
      <c r="E26" s="38" t="n">
        <v>0</v>
      </c>
      <c r="F26" s="17" t="inlineStr">
        <is>
          <t>ALAVANCA. Testar ambas. Art. 71.º n.º 6 e art. 40.º-A CIRS.</t>
        </is>
      </c>
    </row>
    <row r="27">
      <c r="A27" s="8" t="inlineStr">
        <is>
          <t>Imposto sobre dividendos, por retenção liberatória</t>
        </is>
      </c>
      <c r="B27" s="9" t="inlineStr">
        <is>
          <t>IMP_DIV</t>
        </is>
      </c>
      <c r="C27" s="28">
        <f>IF($C$26=1,0,($C$24+$C$25)*Parametros!$C$33)</f>
        <v/>
      </c>
      <c r="D27" s="28">
        <f>IF($D$26=1,0,($D$24+$D$25)*Parametros!$C$33)</f>
        <v/>
      </c>
      <c r="E27" s="28">
        <f>IF($E$26=1,0,($E$24+$E$25)*Parametros!$C$33)</f>
        <v/>
      </c>
      <c r="F27" s="17" t="inlineStr"/>
    </row>
    <row r="28">
      <c r="A28" s="2" t="inlineStr">
        <is>
          <t>IRS do agregado</t>
        </is>
      </c>
      <c r="B28" s="7" t="n"/>
      <c r="C28" s="7" t="n"/>
      <c r="D28" s="7" t="n"/>
      <c r="E28" s="7" t="n"/>
      <c r="F28" s="7" t="n"/>
    </row>
    <row r="29">
      <c r="A29" s="22" t="inlineStr">
        <is>
          <t>Rendimento da sócia sujeito a englobamento</t>
        </is>
      </c>
      <c r="B29" s="9" t="inlineStr">
        <is>
          <t>R_JUL</t>
        </is>
      </c>
      <c r="C29" s="27">
        <f>MAX(0,$C$11-MIN($C$11,MAX(Parametros!$C$25,$C$12*Parametros!$C$12)))+IF($C$26=1,$C$24*Parametros!$C$34,0)</f>
        <v/>
      </c>
      <c r="D29" s="27">
        <f>MAX(0,$D$11-MIN($D$11,MAX(Parametros!$C$25,$D$12*Parametros!$C$12)))+IF($D$26=1,$D$24*Parametros!$C$34,0)</f>
        <v/>
      </c>
      <c r="E29" s="27">
        <f>MAX(0,$E$11-MIN($E$11,MAX(Parametros!$C$25,$E$12*Parametros!$C$12)))+IF($E$26=1,$E$24*Parametros!$C$34,0)</f>
        <v/>
      </c>
      <c r="F29" s="17"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8">
        <f>Inputs!$C$37+IF($C$26=1,$C$25*Parametros!$C$34,0)</f>
        <v/>
      </c>
      <c r="D30" s="28">
        <f>Inputs!$D$37+IF($D$26=1,$D$25*Parametros!$C$34,0)</f>
        <v/>
      </c>
      <c r="E30" s="28">
        <f>Inputs!$E$37+IF($E$26=1,$E$25*Parametros!$C$34,0)</f>
        <v/>
      </c>
      <c r="F30" s="17" t="inlineStr"/>
    </row>
    <row r="31">
      <c r="A31" s="8" t="inlineStr">
        <is>
          <t>Rendimento coletável do agregado — com a atividade</t>
        </is>
      </c>
      <c r="B31" s="9" t="inlineStr">
        <is>
          <t>RC_COM</t>
        </is>
      </c>
      <c r="C31" s="28">
        <f>$C$29+$C$30</f>
        <v/>
      </c>
      <c r="D31" s="28">
        <f>$D$29+$D$30</f>
        <v/>
      </c>
      <c r="E31" s="28">
        <f>$E$29+$E$30</f>
        <v/>
      </c>
      <c r="F31" s="17" t="inlineStr"/>
    </row>
    <row r="32">
      <c r="A32" s="8" t="inlineStr">
        <is>
          <t>Rendimento coletável do agregado — sem a atividade</t>
        </is>
      </c>
      <c r="B32" s="9" t="inlineStr">
        <is>
          <t>RC_SEM</t>
        </is>
      </c>
      <c r="C32" s="35">
        <f>Inputs!$C$37</f>
        <v/>
      </c>
      <c r="D32" s="35">
        <f>Inputs!$D$37</f>
        <v/>
      </c>
      <c r="E32" s="35">
        <f>Inputs!$E$37</f>
        <v/>
      </c>
      <c r="F32" s="17" t="inlineStr">
        <is>
          <t>Contrafactual: apenas o rendimento do cônjuge fora da estrutura.</t>
        </is>
      </c>
    </row>
    <row r="33">
      <c r="A33" s="8" t="inlineStr">
        <is>
          <t>Coleta com a atividade (incl. taxa adicional de solidariedade)</t>
        </is>
      </c>
      <c r="B33" s="9" t="inlineStr">
        <is>
          <t>COL_COM</t>
        </is>
      </c>
      <c r="C33" s="28">
        <f>IF(Inputs!$C$38=1,2*(SUMPRODUCT((($C$31/2)&gt;Parametros!$B$50:$B$58)*(($C$31/2)-Parametros!$B$50:$B$58)*Parametros!$E$50:$E$58)+SUMPRODUCT((($C$31/2)&gt;Parametros!$B$62:$B$63)*(($C$31/2)-Parametros!$B$62:$B$63)*Parametros!$E$62:$E$63)),SUMPRODUCT(($C$31&gt;Parametros!$B$50:$B$58)*($C$31-Parametros!$B$50:$B$58)*Parametros!$E$50:$E$58)+SUMPRODUCT(($C$31&gt;Parametros!$B$62:$B$63)*($C$31-Parametros!$B$62:$B$63)*Parametros!$E$62:$E$63))</f>
        <v/>
      </c>
      <c r="D33" s="28">
        <f>IF(Inputs!$D$38=1,2*(SUMPRODUCT((($D$31/2)&gt;Parametros!$B$50:$B$58)*(($D$31/2)-Parametros!$B$50:$B$58)*Parametros!$E$50:$E$58)+SUMPRODUCT((($D$31/2)&gt;Parametros!$B$62:$B$63)*(($D$31/2)-Parametros!$B$62:$B$63)*Parametros!$E$62:$E$63)),SUMPRODUCT(($D$31&gt;Parametros!$B$50:$B$58)*($D$31-Parametros!$B$50:$B$58)*Parametros!$E$50:$E$58)+SUMPRODUCT(($D$31&gt;Parametros!$B$62:$B$63)*($D$31-Parametros!$B$62:$B$63)*Parametros!$E$62:$E$63))</f>
        <v/>
      </c>
      <c r="E33" s="28">
        <f>IF(Inputs!$E$38=1,2*(SUMPRODUCT((($E$31/2)&gt;Parametros!$B$50:$B$58)*(($E$31/2)-Parametros!$B$50:$B$58)*Parametros!$E$50:$E$58)+SUMPRODUCT((($E$31/2)&gt;Parametros!$B$62:$B$63)*(($E$31/2)-Parametros!$B$62:$B$63)*Parametros!$E$62:$E$63)),SUMPRODUCT(($E$31&gt;Parametros!$B$50:$B$58)*($E$31-Parametros!$B$50:$B$58)*Parametros!$E$50:$E$58)+SUMPRODUCT(($E$31&gt;Parametros!$B$62:$B$63)*($E$31-Parametros!$B$62:$B$63)*Parametros!$E$62:$E$63))</f>
        <v/>
      </c>
      <c r="F33" s="17" t="inlineStr"/>
    </row>
    <row r="34">
      <c r="A34" s="8" t="inlineStr">
        <is>
          <t>Coleta sem a atividade</t>
        </is>
      </c>
      <c r="B34" s="9" t="inlineStr">
        <is>
          <t>COL_SEM</t>
        </is>
      </c>
      <c r="C34" s="28">
        <f>IF(Inputs!$C$38=1,2*(SUMPRODUCT((($C$32/2)&gt;Parametros!$B$50:$B$58)*(($C$32/2)-Parametros!$B$50:$B$58)*Parametros!$E$50:$E$58)+SUMPRODUCT((($C$32/2)&gt;Parametros!$B$62:$B$63)*(($C$32/2)-Parametros!$B$62:$B$63)*Parametros!$E$62:$E$63)),SUMPRODUCT(($C$32&gt;Parametros!$B$50:$B$58)*($C$32-Parametros!$B$50:$B$58)*Parametros!$E$50:$E$58)+SUMPRODUCT(($C$32&gt;Parametros!$B$62:$B$63)*($C$32-Parametros!$B$62:$B$63)*Parametros!$E$62:$E$63))</f>
        <v/>
      </c>
      <c r="D34" s="28">
        <f>IF(Inputs!$D$38=1,2*(SUMPRODUCT((($D$32/2)&gt;Parametros!$B$50:$B$58)*(($D$32/2)-Parametros!$B$50:$B$58)*Parametros!$E$50:$E$58)+SUMPRODUCT((($D$32/2)&gt;Parametros!$B$62:$B$63)*(($D$32/2)-Parametros!$B$62:$B$63)*Parametros!$E$62:$E$63)),SUMPRODUCT(($D$32&gt;Parametros!$B$50:$B$58)*($D$32-Parametros!$B$50:$B$58)*Parametros!$E$50:$E$58)+SUMPRODUCT(($D$32&gt;Parametros!$B$62:$B$63)*($D$32-Parametros!$B$62:$B$63)*Parametros!$E$62:$E$63))</f>
        <v/>
      </c>
      <c r="E34" s="28">
        <f>IF(Inputs!$E$38=1,2*(SUMPRODUCT((($E$32/2)&gt;Parametros!$B$50:$B$58)*(($E$32/2)-Parametros!$B$50:$B$58)*Parametros!$E$50:$E$58)+SUMPRODUCT((($E$32/2)&gt;Parametros!$B$62:$B$63)*(($E$32/2)-Parametros!$B$62:$B$63)*Parametros!$E$62:$E$63)),SUMPRODUCT(($E$32&gt;Parametros!$B$50:$B$58)*($E$32-Parametros!$B$50:$B$58)*Parametros!$E$50:$E$58)+SUMPRODUCT(($E$32&gt;Parametros!$B$62:$B$63)*($E$32-Parametros!$B$62:$B$63)*Parametros!$E$62:$E$63))</f>
        <v/>
      </c>
      <c r="F34" s="17" t="inlineStr"/>
    </row>
    <row r="35">
      <c r="A35" s="22" t="inlineStr">
        <is>
          <t>IRS imputável à atividade</t>
        </is>
      </c>
      <c r="B35" s="9" t="inlineStr">
        <is>
          <t>IRS_ATIV</t>
        </is>
      </c>
      <c r="C35" s="27">
        <f>$C$33-$C$34</f>
        <v/>
      </c>
      <c r="D35" s="27">
        <f>$D$33-$D$34</f>
        <v/>
      </c>
      <c r="E35" s="27">
        <f>$E$33-$E$34</f>
        <v/>
      </c>
      <c r="F35" s="17" t="inlineStr"/>
    </row>
    <row r="36">
      <c r="A36" s="8" t="inlineStr">
        <is>
          <t>IRS total do agregado, após deduções à coleta (memória)</t>
        </is>
      </c>
      <c r="B36" s="9" t="inlineStr">
        <is>
          <t>IRS_TOT</t>
        </is>
      </c>
      <c r="C36" s="28">
        <f>MAX(0,$C$33-Inputs!$C$40)</f>
        <v/>
      </c>
      <c r="D36" s="28">
        <f>MAX(0,$D$33-Inputs!$D$40)</f>
        <v/>
      </c>
      <c r="E36" s="28">
        <f>MAX(0,$E$33-Inputs!$E$40)</f>
        <v/>
      </c>
      <c r="F36" s="17" t="inlineStr"/>
    </row>
    <row r="37">
      <c r="A37" s="8" t="inlineStr">
        <is>
          <t>Contribuições a cargo da sócia (memória)</t>
        </is>
      </c>
      <c r="B37" s="9" t="inlineStr">
        <is>
          <t>SS_TRAB</t>
        </is>
      </c>
      <c r="C37" s="28">
        <f>$C$12*Parametros!$C$12</f>
        <v/>
      </c>
      <c r="D37" s="28">
        <f>$D$12*Parametros!$C$12</f>
        <v/>
      </c>
      <c r="E37" s="28">
        <f>$E$12*Parametros!$C$12</f>
        <v/>
      </c>
      <c r="F37" s="17" t="inlineStr"/>
    </row>
    <row r="38">
      <c r="A38" s="2" t="inlineStr">
        <is>
          <t>Resultado</t>
        </is>
      </c>
      <c r="B38" s="7" t="n"/>
      <c r="C38" s="7" t="n"/>
      <c r="D38" s="7" t="n"/>
      <c r="E38" s="7" t="n"/>
      <c r="F38" s="7" t="n"/>
    </row>
    <row r="39">
      <c r="A39" s="22" t="inlineStr">
        <is>
          <t>Caixa gerada pela atividade, antes de impostos e contribuições</t>
        </is>
      </c>
      <c r="B39" s="9" t="inlineStr">
        <is>
          <t>CAIXA</t>
        </is>
      </c>
      <c r="C39" s="27">
        <f>Inputs!$C$42+Inputs!$C$43+Inputs!$C$17-(Inputs!$C$19+Inputs!$C$20+Inputs!$C$21+Inputs!$C$22+Inputs!$C$24+Inputs!$C$25+Inputs!$C$44)</f>
        <v/>
      </c>
      <c r="D39" s="27">
        <f>Inputs!$D$42+Inputs!$D$43+Inputs!$D$17-(Inputs!$D$19+Inputs!$D$20+Inputs!$D$21+Inputs!$D$22+Inputs!$D$24+Inputs!$D$25+Inputs!$D$44)</f>
        <v/>
      </c>
      <c r="E39" s="27">
        <f>Inputs!$E$42+Inputs!$E$43+Inputs!$E$17-(Inputs!$E$19+Inputs!$E$20+Inputs!$E$21+Inputs!$E$22+Inputs!$E$24+Inputs!$E$25+Inputs!$E$44)</f>
        <v/>
      </c>
      <c r="F39" s="17"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7">
        <f>$C$35+$C$37+$C$13+$C$15+$C$16+$C$17+$C$27</f>
        <v/>
      </c>
      <c r="D40" s="27">
        <f>$D$35+$D$37+$D$13+$D$15+$D$16+$D$17+$D$27</f>
        <v/>
      </c>
      <c r="E40" s="27">
        <f>$E$35+$E$37+$E$13+$E$15+$E$16+$E$17+$E$27</f>
        <v/>
      </c>
      <c r="F40" s="17" t="inlineStr">
        <is>
          <t>IRS imputável + contribuições da sócia e da sociedade + IRC + derrama + tributações autónomas + imposto sobre dividendos.</t>
        </is>
      </c>
    </row>
    <row r="41">
      <c r="A41" s="8" t="inlineStr">
        <is>
          <t>Taxa de esforço efetiva sobre a caixa gerada</t>
        </is>
      </c>
      <c r="B41" s="9" t="inlineStr">
        <is>
          <t>TAXA_EF</t>
        </is>
      </c>
      <c r="C41" s="37">
        <f>IF($C$39&lt;=0,0,$C$40/$C$39)</f>
        <v/>
      </c>
      <c r="D41" s="37">
        <f>IF($D$39&lt;=0,0,$D$40/$D$39)</f>
        <v/>
      </c>
      <c r="E41" s="37">
        <f>IF($E$39&lt;=0,0,$E$40/$E$39)</f>
        <v/>
      </c>
      <c r="F41" s="17" t="inlineStr"/>
    </row>
    <row r="42">
      <c r="A42" s="8" t="inlineStr">
        <is>
          <t>Valor retido na sociedade (não disponibilizado à sócia)</t>
        </is>
      </c>
      <c r="B42" s="9" t="inlineStr">
        <is>
          <t>RETIDO</t>
        </is>
      </c>
      <c r="C42" s="28">
        <f>$C$20-$C$22</f>
        <v/>
      </c>
      <c r="D42" s="28">
        <f>$D$20-$D$22</f>
        <v/>
      </c>
      <c r="E42" s="28">
        <f>$E$20-$E$22</f>
        <v/>
      </c>
      <c r="F42" s="17" t="inlineStr"/>
    </row>
    <row r="43">
      <c r="A43" s="8" t="inlineStr">
        <is>
          <t>Valor atribuído ao cônjuge por via de dividendos, líquido</t>
        </is>
      </c>
      <c r="B43" s="9" t="inlineStr">
        <is>
          <t>LIQ_CJ</t>
        </is>
      </c>
      <c r="C43" s="28">
        <f>$C$25-IF($C$26=1,0,$C$25*Parametros!$C$33)</f>
        <v/>
      </c>
      <c r="D43" s="28">
        <f>$D$25-IF($D$26=1,0,$D$25*Parametros!$C$33)</f>
        <v/>
      </c>
      <c r="E43" s="28">
        <f>$E$25-IF($E$26=1,0,$E$25*Parametros!$C$33)</f>
        <v/>
      </c>
      <c r="F43" s="17" t="inlineStr">
        <is>
          <t>Só via 4. É uma transferência real de rendimento dentro do agregado e tem de ser explicitada — não é indiferente à sócia.</t>
        </is>
      </c>
    </row>
    <row r="44">
      <c r="A44" s="22" t="inlineStr">
        <is>
          <t>LÍQUIDO DISPONÍVEL PARA A SÓCIA</t>
        </is>
      </c>
      <c r="B44" s="9" t="inlineStr">
        <is>
          <t>LIQ_SOC</t>
        </is>
      </c>
      <c r="C44" s="27">
        <f>$C$39-$C$40-$C$42-$C$43</f>
        <v/>
      </c>
      <c r="D44" s="27">
        <f>$D$39-$D$40-$D$42-$D$43</f>
        <v/>
      </c>
      <c r="E44" s="27">
        <f>$E$39-$E$40-$E$42-$E$43</f>
        <v/>
      </c>
      <c r="F44" s="17" t="inlineStr"/>
    </row>
    <row r="45">
      <c r="A45" s="22" t="inlineStr">
        <is>
          <t>LÍQUIDO DISPONÍVEL PARA O AGREGADO</t>
        </is>
      </c>
      <c r="B45" s="9" t="inlineStr">
        <is>
          <t>LIQ_AGR</t>
        </is>
      </c>
      <c r="C45" s="27">
        <f>$C$44+$C$43</f>
        <v/>
      </c>
      <c r="D45" s="27">
        <f>$D$44+$D$43</f>
        <v/>
      </c>
      <c r="E45" s="27">
        <f>$E$44+$E$43</f>
        <v/>
      </c>
      <c r="F45" s="17" t="inlineStr"/>
    </row>
    <row r="46">
      <c r="A46" s="8" t="inlineStr">
        <is>
          <t>Memória — investimento e IVA não dedutível suportados no ano 1</t>
        </is>
      </c>
      <c r="B46" s="9" t="inlineStr">
        <is>
          <t>INV_A1</t>
        </is>
      </c>
      <c r="C46" s="28">
        <f>Inputs!$C$27+Inputs!$C$28+Inputs!$C$29+Inputs!$C$30</f>
        <v/>
      </c>
      <c r="D46" s="28">
        <f>Inputs!$D$27+Inputs!$D$28+Inputs!$D$29+Inputs!$D$30</f>
        <v/>
      </c>
      <c r="E46" s="28">
        <f>Inputs!$E$27+Inputs!$E$28+Inputs!$E$29+Inputs!$E$30</f>
        <v/>
      </c>
      <c r="F46" s="17" t="inlineStr">
        <is>
          <t>Excluído da comparação anual acima. Quantificação do IVA na folha IVA.</t>
        </is>
      </c>
    </row>
  </sheetData>
  <mergeCells count="1">
    <mergeCell ref="A2:F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20"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8">
        <f>Inputs!$C$27*Parametros!$C$36</f>
        <v/>
      </c>
      <c r="D6" s="28">
        <f>Inputs!$D$27*Parametros!$C$36</f>
        <v/>
      </c>
      <c r="E6" s="28">
        <f>Inputs!$E$27*Parametros!$C$36</f>
        <v/>
      </c>
      <c r="F6" s="17" t="inlineStr"/>
    </row>
    <row r="7">
      <c r="A7" s="8" t="inlineStr">
        <is>
          <t>IVA no equipamento à taxa normal</t>
        </is>
      </c>
      <c r="B7" s="9" t="inlineStr">
        <is>
          <t>I_EQN</t>
        </is>
      </c>
      <c r="C7" s="28">
        <f>Inputs!$C$28*Parametros!$C$36</f>
        <v/>
      </c>
      <c r="D7" s="28">
        <f>Inputs!$D$28*Parametros!$C$36</f>
        <v/>
      </c>
      <c r="E7" s="28">
        <f>Inputs!$E$28*Parametros!$C$36</f>
        <v/>
      </c>
      <c r="F7" s="17" t="inlineStr"/>
    </row>
    <row r="8">
      <c r="A8" s="8" t="inlineStr">
        <is>
          <t>IVA no equipamento à taxa reduzida</t>
        </is>
      </c>
      <c r="B8" s="9" t="inlineStr">
        <is>
          <t>I_EQR</t>
        </is>
      </c>
      <c r="C8" s="28">
        <f>Inputs!$C$29*Parametros!$C$37</f>
        <v/>
      </c>
      <c r="D8" s="28">
        <f>Inputs!$D$29*Parametros!$C$37</f>
        <v/>
      </c>
      <c r="E8" s="28">
        <f>Inputs!$E$29*Parametros!$C$37</f>
        <v/>
      </c>
      <c r="F8" s="17"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8">
        <f>Inputs!$C$30*Parametros!$C$36</f>
        <v/>
      </c>
      <c r="D9" s="28">
        <f>Inputs!$D$30*Parametros!$C$36</f>
        <v/>
      </c>
      <c r="E9" s="28">
        <f>Inputs!$E$30*Parametros!$C$36</f>
        <v/>
      </c>
      <c r="F9" s="17" t="inlineStr"/>
    </row>
    <row r="10">
      <c r="A10" s="22" t="inlineStr">
        <is>
          <t>Total de IVA suportado no investimento</t>
        </is>
      </c>
      <c r="B10" s="9" t="inlineStr">
        <is>
          <t>I_TOT</t>
        </is>
      </c>
      <c r="C10" s="27">
        <f>SUM($C$6:$C$9)</f>
        <v/>
      </c>
      <c r="D10" s="27">
        <f>SUM($D$6:$D$9)</f>
        <v/>
      </c>
      <c r="E10" s="27">
        <f>SUM($E$6:$E$9)</f>
        <v/>
      </c>
      <c r="F10" s="17"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8">
        <f>0</f>
        <v/>
      </c>
      <c r="D12" s="28">
        <f>0</f>
        <v/>
      </c>
      <c r="E12" s="28">
        <f>0</f>
        <v/>
      </c>
      <c r="F12" s="17" t="inlineStr">
        <is>
          <t>Art. 20.º n.º 1 CIVA a contrario: isenção do art. 9.º não confere direito à dedução.</t>
        </is>
      </c>
    </row>
    <row r="13">
      <c r="A13" s="22" t="inlineStr">
        <is>
          <t>IVA perdido, convertido em custo do investimento</t>
        </is>
      </c>
      <c r="B13" s="9" t="inlineStr">
        <is>
          <t>P_ISENTO</t>
        </is>
      </c>
      <c r="C13" s="27">
        <f>$C$10</f>
        <v/>
      </c>
      <c r="D13" s="27">
        <f>$D$10</f>
        <v/>
      </c>
      <c r="E13" s="27">
        <f>$E$10</f>
        <v/>
      </c>
      <c r="F13" s="17"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7">
        <f>IF(Inputs!$C$46&lt;=0,0,Inputs!$C$47/Inputs!$C$46)</f>
        <v/>
      </c>
      <c r="D15" s="37">
        <f>IF(Inputs!$D$46&lt;=0,0,Inputs!$D$47/Inputs!$D$46)</f>
        <v/>
      </c>
      <c r="E15" s="37">
        <f>IF(Inputs!$E$46&lt;=0,0,Inputs!$E$47/Inputs!$E$46)</f>
        <v/>
      </c>
      <c r="F15" s="17"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3" t="n">
        <v>0</v>
      </c>
      <c r="D16" s="13" t="n">
        <v>0</v>
      </c>
      <c r="E16" s="13" t="n">
        <v>0</v>
      </c>
      <c r="F16" s="17" t="inlineStr">
        <is>
          <t>Só relevante na afetação real. A preencher com base na planta do espaço e no orçamento de obras.</t>
        </is>
      </c>
    </row>
    <row r="17">
      <c r="A17" s="8" t="inlineStr">
        <is>
          <t>IVA dedutível — método do pro rata</t>
        </is>
      </c>
      <c r="B17" s="9" t="inlineStr">
        <is>
          <t>D_PRORATA</t>
        </is>
      </c>
      <c r="C17" s="28">
        <f>$C$10*$C$15</f>
        <v/>
      </c>
      <c r="D17" s="28">
        <f>$D$10*$D$15</f>
        <v/>
      </c>
      <c r="E17" s="28">
        <f>$E$10*$E$15</f>
        <v/>
      </c>
      <c r="F17" s="17" t="inlineStr"/>
    </row>
    <row r="18">
      <c r="A18" s="8" t="inlineStr">
        <is>
          <t>IVA dedutível — método da afetação real</t>
        </is>
      </c>
      <c r="B18" s="9" t="inlineStr">
        <is>
          <t>D_REAL</t>
        </is>
      </c>
      <c r="C18" s="28">
        <f>$C$10*$C$16+$C$10*(1-$C$16)*$C$15</f>
        <v/>
      </c>
      <c r="D18" s="28">
        <f>$D$10*$D$16+$D$10*(1-$D$16)*$D$15</f>
        <v/>
      </c>
      <c r="E18" s="28">
        <f>$E$10*$E$16+$E$10*(1-$E$16)*$E$15</f>
        <v/>
      </c>
      <c r="F18" s="17"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7">
        <f>MAX($C$17,$C$18)</f>
        <v/>
      </c>
      <c r="D19" s="27">
        <f>MAX($D$17,$D$18)</f>
        <v/>
      </c>
      <c r="E19" s="27">
        <f>MAX($E$17,$E$18)</f>
        <v/>
      </c>
      <c r="F19" s="17" t="inlineStr"/>
    </row>
    <row r="20">
      <c r="A20" s="22" t="inlineStr">
        <is>
          <t>IVA perdido na via 4</t>
        </is>
      </c>
      <c r="B20" s="9" t="inlineStr">
        <is>
          <t>P_MISTO</t>
        </is>
      </c>
      <c r="C20" s="27">
        <f>$C$10-$C$19</f>
        <v/>
      </c>
      <c r="D20" s="27">
        <f>$D$10-$D$19</f>
        <v/>
      </c>
      <c r="E20" s="27">
        <f>$E$10-$E$19</f>
        <v/>
      </c>
      <c r="F20" s="17" t="inlineStr"/>
    </row>
    <row r="21">
      <c r="A21" s="22" t="inlineStr">
        <is>
          <t>Ganho de IVA atribuível à entrada do cônjuge</t>
        </is>
      </c>
      <c r="B21" s="9" t="inlineStr">
        <is>
          <t>GANHO</t>
        </is>
      </c>
      <c r="C21" s="27">
        <f>$C$13-$C$20</f>
        <v/>
      </c>
      <c r="D21" s="27">
        <f>$D$13-$D$20</f>
        <v/>
      </c>
      <c r="E21" s="27">
        <f>$E$13-$E$20</f>
        <v/>
      </c>
      <c r="F21" s="17"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3" t="n">
        <v>0.3</v>
      </c>
      <c r="D23" s="13" t="n">
        <v>0.3</v>
      </c>
      <c r="E23" s="13" t="n">
        <v>0.3</v>
      </c>
      <c r="F23" s="17" t="inlineStr">
        <is>
          <t>Cenário de teste. Não é uma estimativa: substituir pela verificação item a item.</t>
        </is>
      </c>
    </row>
    <row r="24">
      <c r="A24" s="22" t="inlineStr">
        <is>
          <t>Poupança de IVA nesse cenário</t>
        </is>
      </c>
      <c r="B24" s="9" t="inlineStr">
        <is>
          <t>SENS_GAN</t>
        </is>
      </c>
      <c r="C24" s="27">
        <f>Inputs!$C$28*$C$23*(Parametros!$C$36-Parametros!$C$37)</f>
        <v/>
      </c>
      <c r="D24" s="27">
        <f>Inputs!$D$28*$D$23*(Parametros!$C$36-Parametros!$C$37)</f>
        <v/>
      </c>
      <c r="E24" s="27">
        <f>Inputs!$E$28*$E$23*(Parametros!$C$36-Parametros!$C$37)</f>
        <v/>
      </c>
      <c r="F24" s="17"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35">
        <f>Inputs!$C$22+Inputs!$C$24+Inputs!$C$25</f>
        <v/>
      </c>
      <c r="D26" s="35">
        <f>Inputs!$D$22+Inputs!$D$24+Inputs!$D$25</f>
        <v/>
      </c>
      <c r="E26" s="35">
        <f>Inputs!$E$22+Inputs!$E$24+Inputs!$E$25</f>
        <v/>
      </c>
      <c r="F26" s="17"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7">
        <f>$C$26*Parametros!$C$36</f>
        <v/>
      </c>
      <c r="D27" s="27">
        <f>$D$26*Parametros!$C$36</f>
        <v/>
      </c>
      <c r="E27" s="27">
        <f>$E$26*Parametros!$C$36</f>
        <v/>
      </c>
      <c r="F27" s="17" t="inlineStr"/>
    </row>
  </sheetData>
  <mergeCells count="1">
    <mergeCell ref="A2:F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20"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35">
        <f>V1_ENI_Simplificado!$C$36</f>
        <v/>
      </c>
      <c r="D6" s="35">
        <f>V2_ENI_ContOrg!$C$25</f>
        <v/>
      </c>
      <c r="E6" s="35">
        <f>V3_Soc_Transparente!$C$31</f>
        <v/>
      </c>
      <c r="F6" s="35">
        <f>V4_Soc_NaoTransparente!$C$39</f>
        <v/>
      </c>
      <c r="G6" s="17" t="inlineStr">
        <is>
          <t>Idêntica nas quatro vias, por construção.</t>
        </is>
      </c>
    </row>
    <row r="7">
      <c r="A7" s="8" t="inlineStr">
        <is>
          <t>IRS imputável à atividade</t>
        </is>
      </c>
      <c r="C7" s="35">
        <f>V1_ENI_Simplificado!$C$33</f>
        <v/>
      </c>
      <c r="D7" s="35">
        <f>V2_ENI_ContOrg!$C$22</f>
        <v/>
      </c>
      <c r="E7" s="35">
        <f>V3_Soc_Transparente!$C$28</f>
        <v/>
      </c>
      <c r="F7" s="35">
        <f>V4_Soc_NaoTransparente!$C$35</f>
        <v/>
      </c>
      <c r="G7" s="17" t="inlineStr"/>
    </row>
    <row r="8">
      <c r="A8" s="8" t="inlineStr">
        <is>
          <t>Segurança Social (todas as componentes)</t>
        </is>
      </c>
      <c r="C8" s="35">
        <f>V1_ENI_Simplificado!$C$23</f>
        <v/>
      </c>
      <c r="D8" s="35">
        <f>V2_ENI_ContOrg!$C$13</f>
        <v/>
      </c>
      <c r="E8" s="35">
        <f>V3_Soc_Transparente!$C$18+V3_Soc_Transparente!$C$12</f>
        <v/>
      </c>
      <c r="F8" s="35">
        <f>V4_Soc_NaoTransparente!$C$37+V4_Soc_NaoTransparente!$C$13</f>
        <v/>
      </c>
      <c r="G8" s="17" t="inlineStr">
        <is>
          <t>Vias 1 e 2: contribuição do trabalhador independente. Vias 3 e 4: contribuições do MOE, a cargo da sócia e da sociedade.</t>
        </is>
      </c>
    </row>
    <row r="9">
      <c r="A9" s="8" t="inlineStr">
        <is>
          <t>IRC, derrama e tributações autónomas</t>
        </is>
      </c>
      <c r="C9" s="35">
        <f>0</f>
        <v/>
      </c>
      <c r="D9" s="35">
        <f>0</f>
        <v/>
      </c>
      <c r="E9" s="35">
        <f>V3_Soc_Transparente!$C$14+V3_Soc_Transparente!$C$15</f>
        <v/>
      </c>
      <c r="F9" s="35">
        <f>V4_Soc_NaoTransparente!$C$15+V4_Soc_NaoTransparente!$C$16+V4_Soc_NaoTransparente!$C$17</f>
        <v/>
      </c>
      <c r="G9" s="17" t="inlineStr"/>
    </row>
    <row r="10">
      <c r="A10" s="8" t="inlineStr">
        <is>
          <t>Imposto sobre a distribuição</t>
        </is>
      </c>
      <c r="C10" s="35">
        <f>0</f>
        <v/>
      </c>
      <c r="D10" s="35">
        <f>0</f>
        <v/>
      </c>
      <c r="E10" s="35">
        <f>0</f>
        <v/>
      </c>
      <c r="F10" s="35">
        <f>V4_Soc_NaoTransparente!$C$27</f>
        <v/>
      </c>
      <c r="G10" s="17" t="inlineStr"/>
    </row>
    <row r="11">
      <c r="A11" s="22" t="inlineStr">
        <is>
          <t>TOTAL DE IMPOSTOS E CONTRIBUIÇÕES</t>
        </is>
      </c>
      <c r="C11" s="27">
        <f>V1_ENI_Simplificado!$C$37</f>
        <v/>
      </c>
      <c r="D11" s="27">
        <f>V2_ENI_ContOrg!$C$26</f>
        <v/>
      </c>
      <c r="E11" s="27">
        <f>V3_Soc_Transparente!$C$32</f>
        <v/>
      </c>
      <c r="F11" s="27">
        <f>V4_Soc_NaoTransparente!$C$40</f>
        <v/>
      </c>
      <c r="G11" s="17" t="inlineStr"/>
    </row>
    <row r="12">
      <c r="A12" s="8" t="inlineStr">
        <is>
          <t>Taxa de esforço sobre a caixa gerada</t>
        </is>
      </c>
      <c r="C12" s="36">
        <f>V1_ENI_Simplificado!$C$38</f>
        <v/>
      </c>
      <c r="D12" s="36">
        <f>V2_ENI_ContOrg!$C$27</f>
        <v/>
      </c>
      <c r="E12" s="36">
        <f>V3_Soc_Transparente!$C$33</f>
        <v/>
      </c>
      <c r="F12" s="36">
        <f>V4_Soc_NaoTransparente!$C$41</f>
        <v/>
      </c>
      <c r="G12" s="17" t="inlineStr"/>
    </row>
    <row r="13">
      <c r="A13" s="8" t="inlineStr">
        <is>
          <t>Valor retido na sociedade</t>
        </is>
      </c>
      <c r="C13" s="35">
        <f>V1_ENI_Simplificado!$C$39</f>
        <v/>
      </c>
      <c r="D13" s="35">
        <f>V2_ENI_ContOrg!$C$28</f>
        <v/>
      </c>
      <c r="E13" s="35">
        <f>V3_Soc_Transparente!$C$34</f>
        <v/>
      </c>
      <c r="F13" s="35">
        <f>V4_Soc_NaoTransparente!$C$42</f>
        <v/>
      </c>
      <c r="G13" s="17" t="inlineStr">
        <is>
          <t>Não é perda, mas também não é liquidez da sócia. Tem de aparecer separado.</t>
        </is>
      </c>
    </row>
    <row r="14">
      <c r="A14" s="8" t="inlineStr">
        <is>
          <t>Valor atribuído ao cônjuge</t>
        </is>
      </c>
      <c r="C14" s="35">
        <f>V1_ENI_Simplificado!$C$40</f>
        <v/>
      </c>
      <c r="D14" s="35">
        <f>V2_ENI_ContOrg!$C$29</f>
        <v/>
      </c>
      <c r="E14" s="35">
        <f>V3_Soc_Transparente!$C$35</f>
        <v/>
      </c>
      <c r="F14" s="35">
        <f>V4_Soc_NaoTransparente!$C$43</f>
        <v/>
      </c>
      <c r="G14" s="17" t="inlineStr"/>
    </row>
    <row r="15">
      <c r="A15" s="22" t="inlineStr">
        <is>
          <t>LÍQUIDO DISPONÍVEL PARA A SÓCIA</t>
        </is>
      </c>
      <c r="C15" s="27">
        <f>V1_ENI_Simplificado!$C$41</f>
        <v/>
      </c>
      <c r="D15" s="27">
        <f>V2_ENI_ContOrg!$C$30</f>
        <v/>
      </c>
      <c r="E15" s="27">
        <f>V3_Soc_Transparente!$C$36</f>
        <v/>
      </c>
      <c r="F15" s="27">
        <f>V4_Soc_NaoTransparente!$C$44</f>
        <v/>
      </c>
      <c r="G15" s="17" t="inlineStr">
        <is>
          <t>Indicador de decisão.</t>
        </is>
      </c>
    </row>
    <row r="16">
      <c r="A16" s="22" t="inlineStr">
        <is>
          <t>LÍQUIDO DISPONÍVEL PARA O AGREGADO</t>
        </is>
      </c>
      <c r="C16" s="27">
        <f>V1_ENI_Simplificado!$C$42</f>
        <v/>
      </c>
      <c r="D16" s="27">
        <f>V2_ENI_ContOrg!$C$31</f>
        <v/>
      </c>
      <c r="E16" s="27">
        <f>V3_Soc_Transparente!$C$37</f>
        <v/>
      </c>
      <c r="F16" s="27">
        <f>V4_Soc_NaoTransparente!$C$45</f>
        <v/>
      </c>
      <c r="G16" s="17" t="inlineStr"/>
    </row>
    <row r="17">
      <c r="A17" s="8" t="inlineStr">
        <is>
          <t>Diferencial face à via 1 (líquido para a sócia)</t>
        </is>
      </c>
      <c r="C17" s="28">
        <f>C15-$C$15</f>
        <v/>
      </c>
      <c r="D17" s="28">
        <f>D15-$C$15</f>
        <v/>
      </c>
      <c r="E17" s="28">
        <f>E15-$C$15</f>
        <v/>
      </c>
      <c r="F17" s="28">
        <f>F15-$C$15</f>
        <v/>
      </c>
    </row>
    <row r="18">
      <c r="A18" s="22" t="inlineStr">
        <is>
          <t>Via com maior líquido para a sócia</t>
        </is>
      </c>
      <c r="C18" s="26">
        <f>INDEX($C$5:$F$5,1,MATCH(MAX($C$15:$F$15),$C$15:$F$15,0))</f>
        <v/>
      </c>
      <c r="D18" s="39" t="n"/>
      <c r="E18" s="39" t="n"/>
      <c r="F18" s="40" t="n"/>
    </row>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35">
        <f>V1_ENI_Simplificado!$D$36</f>
        <v/>
      </c>
      <c r="D23" s="35">
        <f>V2_ENI_ContOrg!$D$25</f>
        <v/>
      </c>
      <c r="E23" s="35">
        <f>V3_Soc_Transparente!$D$31</f>
        <v/>
      </c>
      <c r="F23" s="35">
        <f>V4_Soc_NaoTransparente!$D$39</f>
        <v/>
      </c>
      <c r="G23" s="17" t="inlineStr">
        <is>
          <t>Idêntica nas quatro vias, por construção.</t>
        </is>
      </c>
    </row>
    <row r="24">
      <c r="A24" s="8" t="inlineStr">
        <is>
          <t>IRS imputável à atividade</t>
        </is>
      </c>
      <c r="C24" s="35">
        <f>V1_ENI_Simplificado!$D$33</f>
        <v/>
      </c>
      <c r="D24" s="35">
        <f>V2_ENI_ContOrg!$D$22</f>
        <v/>
      </c>
      <c r="E24" s="35">
        <f>V3_Soc_Transparente!$D$28</f>
        <v/>
      </c>
      <c r="F24" s="35">
        <f>V4_Soc_NaoTransparente!$D$35</f>
        <v/>
      </c>
      <c r="G24" s="17" t="inlineStr"/>
    </row>
    <row r="25">
      <c r="A25" s="8" t="inlineStr">
        <is>
          <t>Segurança Social (todas as componentes)</t>
        </is>
      </c>
      <c r="C25" s="35">
        <f>V1_ENI_Simplificado!$D$23</f>
        <v/>
      </c>
      <c r="D25" s="35">
        <f>V2_ENI_ContOrg!$D$13</f>
        <v/>
      </c>
      <c r="E25" s="35">
        <f>V3_Soc_Transparente!$D$18+V3_Soc_Transparente!$D$12</f>
        <v/>
      </c>
      <c r="F25" s="35">
        <f>V4_Soc_NaoTransparente!$D$37+V4_Soc_NaoTransparente!$D$13</f>
        <v/>
      </c>
      <c r="G25" s="17" t="inlineStr">
        <is>
          <t>Vias 1 e 2: contribuição do trabalhador independente. Vias 3 e 4: contribuições do MOE, a cargo da sócia e da sociedade.</t>
        </is>
      </c>
    </row>
    <row r="26">
      <c r="A26" s="8" t="inlineStr">
        <is>
          <t>IRC, derrama e tributações autónomas</t>
        </is>
      </c>
      <c r="C26" s="35">
        <f>0</f>
        <v/>
      </c>
      <c r="D26" s="35">
        <f>0</f>
        <v/>
      </c>
      <c r="E26" s="35">
        <f>V3_Soc_Transparente!$D$14+V3_Soc_Transparente!$D$15</f>
        <v/>
      </c>
      <c r="F26" s="35">
        <f>V4_Soc_NaoTransparente!$D$15+V4_Soc_NaoTransparente!$D$16+V4_Soc_NaoTransparente!$D$17</f>
        <v/>
      </c>
      <c r="G26" s="17" t="inlineStr"/>
    </row>
    <row r="27">
      <c r="A27" s="8" t="inlineStr">
        <is>
          <t>Imposto sobre a distribuição</t>
        </is>
      </c>
      <c r="C27" s="35">
        <f>0</f>
        <v/>
      </c>
      <c r="D27" s="35">
        <f>0</f>
        <v/>
      </c>
      <c r="E27" s="35">
        <f>0</f>
        <v/>
      </c>
      <c r="F27" s="35">
        <f>V4_Soc_NaoTransparente!$D$27</f>
        <v/>
      </c>
      <c r="G27" s="17" t="inlineStr"/>
    </row>
    <row r="28">
      <c r="A28" s="22" t="inlineStr">
        <is>
          <t>TOTAL DE IMPOSTOS E CONTRIBUIÇÕES</t>
        </is>
      </c>
      <c r="C28" s="27">
        <f>V1_ENI_Simplificado!$D$37</f>
        <v/>
      </c>
      <c r="D28" s="27">
        <f>V2_ENI_ContOrg!$D$26</f>
        <v/>
      </c>
      <c r="E28" s="27">
        <f>V3_Soc_Transparente!$D$32</f>
        <v/>
      </c>
      <c r="F28" s="27">
        <f>V4_Soc_NaoTransparente!$D$40</f>
        <v/>
      </c>
      <c r="G28" s="17" t="inlineStr"/>
    </row>
    <row r="29">
      <c r="A29" s="8" t="inlineStr">
        <is>
          <t>Taxa de esforço sobre a caixa gerada</t>
        </is>
      </c>
      <c r="C29" s="36">
        <f>V1_ENI_Simplificado!$D$38</f>
        <v/>
      </c>
      <c r="D29" s="36">
        <f>V2_ENI_ContOrg!$D$27</f>
        <v/>
      </c>
      <c r="E29" s="36">
        <f>V3_Soc_Transparente!$D$33</f>
        <v/>
      </c>
      <c r="F29" s="36">
        <f>V4_Soc_NaoTransparente!$D$41</f>
        <v/>
      </c>
      <c r="G29" s="17" t="inlineStr"/>
    </row>
    <row r="30">
      <c r="A30" s="8" t="inlineStr">
        <is>
          <t>Valor retido na sociedade</t>
        </is>
      </c>
      <c r="C30" s="35">
        <f>V1_ENI_Simplificado!$D$39</f>
        <v/>
      </c>
      <c r="D30" s="35">
        <f>V2_ENI_ContOrg!$D$28</f>
        <v/>
      </c>
      <c r="E30" s="35">
        <f>V3_Soc_Transparente!$D$34</f>
        <v/>
      </c>
      <c r="F30" s="35">
        <f>V4_Soc_NaoTransparente!$D$42</f>
        <v/>
      </c>
      <c r="G30" s="17" t="inlineStr">
        <is>
          <t>Não é perda, mas também não é liquidez da sócia. Tem de aparecer separado.</t>
        </is>
      </c>
    </row>
    <row r="31">
      <c r="A31" s="8" t="inlineStr">
        <is>
          <t>Valor atribuído ao cônjuge</t>
        </is>
      </c>
      <c r="C31" s="35">
        <f>V1_ENI_Simplificado!$D$40</f>
        <v/>
      </c>
      <c r="D31" s="35">
        <f>V2_ENI_ContOrg!$D$29</f>
        <v/>
      </c>
      <c r="E31" s="35">
        <f>V3_Soc_Transparente!$D$35</f>
        <v/>
      </c>
      <c r="F31" s="35">
        <f>V4_Soc_NaoTransparente!$D$43</f>
        <v/>
      </c>
      <c r="G31" s="17" t="inlineStr"/>
    </row>
    <row r="32">
      <c r="A32" s="22" t="inlineStr">
        <is>
          <t>LÍQUIDO DISPONÍVEL PARA A SÓCIA</t>
        </is>
      </c>
      <c r="C32" s="27">
        <f>V1_ENI_Simplificado!$D$41</f>
        <v/>
      </c>
      <c r="D32" s="27">
        <f>V2_ENI_ContOrg!$D$30</f>
        <v/>
      </c>
      <c r="E32" s="27">
        <f>V3_Soc_Transparente!$D$36</f>
        <v/>
      </c>
      <c r="F32" s="27">
        <f>V4_Soc_NaoTransparente!$D$44</f>
        <v/>
      </c>
      <c r="G32" s="17" t="inlineStr">
        <is>
          <t>Indicador de decisão.</t>
        </is>
      </c>
    </row>
    <row r="33">
      <c r="A33" s="22" t="inlineStr">
        <is>
          <t>LÍQUIDO DISPONÍVEL PARA O AGREGADO</t>
        </is>
      </c>
      <c r="C33" s="27">
        <f>V1_ENI_Simplificado!$D$42</f>
        <v/>
      </c>
      <c r="D33" s="27">
        <f>V2_ENI_ContOrg!$D$31</f>
        <v/>
      </c>
      <c r="E33" s="27">
        <f>V3_Soc_Transparente!$D$37</f>
        <v/>
      </c>
      <c r="F33" s="27">
        <f>V4_Soc_NaoTransparente!$D$45</f>
        <v/>
      </c>
      <c r="G33" s="17" t="inlineStr"/>
    </row>
    <row r="34">
      <c r="A34" s="8" t="inlineStr">
        <is>
          <t>Diferencial face à via 1 (líquido para a sócia)</t>
        </is>
      </c>
      <c r="C34" s="28">
        <f>C32-$C$32</f>
        <v/>
      </c>
      <c r="D34" s="28">
        <f>D32-$C$32</f>
        <v/>
      </c>
      <c r="E34" s="28">
        <f>E32-$C$32</f>
        <v/>
      </c>
      <c r="F34" s="28">
        <f>F32-$C$32</f>
        <v/>
      </c>
    </row>
    <row r="35">
      <c r="A35" s="22" t="inlineStr">
        <is>
          <t>Via com maior líquido para a sócia</t>
        </is>
      </c>
      <c r="C35" s="26">
        <f>INDEX($C$22:$F$22,1,MATCH(MAX($C$32:$F$32),$C$32:$F$32,0))</f>
        <v/>
      </c>
      <c r="D35" s="39" t="n"/>
      <c r="E35" s="39" t="n"/>
      <c r="F35" s="40" t="n"/>
    </row>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35">
        <f>V1_ENI_Simplificado!$E$36</f>
        <v/>
      </c>
      <c r="D40" s="35">
        <f>V2_ENI_ContOrg!$E$25</f>
        <v/>
      </c>
      <c r="E40" s="35">
        <f>V3_Soc_Transparente!$E$31</f>
        <v/>
      </c>
      <c r="F40" s="35">
        <f>V4_Soc_NaoTransparente!$E$39</f>
        <v/>
      </c>
      <c r="G40" s="17" t="inlineStr">
        <is>
          <t>Idêntica nas quatro vias, por construção.</t>
        </is>
      </c>
    </row>
    <row r="41">
      <c r="A41" s="8" t="inlineStr">
        <is>
          <t>IRS imputável à atividade</t>
        </is>
      </c>
      <c r="C41" s="35">
        <f>V1_ENI_Simplificado!$E$33</f>
        <v/>
      </c>
      <c r="D41" s="35">
        <f>V2_ENI_ContOrg!$E$22</f>
        <v/>
      </c>
      <c r="E41" s="35">
        <f>V3_Soc_Transparente!$E$28</f>
        <v/>
      </c>
      <c r="F41" s="35">
        <f>V4_Soc_NaoTransparente!$E$35</f>
        <v/>
      </c>
      <c r="G41" s="17" t="inlineStr"/>
    </row>
    <row r="42">
      <c r="A42" s="8" t="inlineStr">
        <is>
          <t>Segurança Social (todas as componentes)</t>
        </is>
      </c>
      <c r="C42" s="35">
        <f>V1_ENI_Simplificado!$E$23</f>
        <v/>
      </c>
      <c r="D42" s="35">
        <f>V2_ENI_ContOrg!$E$13</f>
        <v/>
      </c>
      <c r="E42" s="35">
        <f>V3_Soc_Transparente!$E$18+V3_Soc_Transparente!$E$12</f>
        <v/>
      </c>
      <c r="F42" s="35">
        <f>V4_Soc_NaoTransparente!$E$37+V4_Soc_NaoTransparente!$E$13</f>
        <v/>
      </c>
      <c r="G42" s="17" t="inlineStr">
        <is>
          <t>Vias 1 e 2: contribuição do trabalhador independente. Vias 3 e 4: contribuições do MOE, a cargo da sócia e da sociedade.</t>
        </is>
      </c>
    </row>
    <row r="43">
      <c r="A43" s="8" t="inlineStr">
        <is>
          <t>IRC, derrama e tributações autónomas</t>
        </is>
      </c>
      <c r="C43" s="35">
        <f>0</f>
        <v/>
      </c>
      <c r="D43" s="35">
        <f>0</f>
        <v/>
      </c>
      <c r="E43" s="35">
        <f>V3_Soc_Transparente!$E$14+V3_Soc_Transparente!$E$15</f>
        <v/>
      </c>
      <c r="F43" s="35">
        <f>V4_Soc_NaoTransparente!$E$15+V4_Soc_NaoTransparente!$E$16+V4_Soc_NaoTransparente!$E$17</f>
        <v/>
      </c>
      <c r="G43" s="17" t="inlineStr"/>
    </row>
    <row r="44">
      <c r="A44" s="8" t="inlineStr">
        <is>
          <t>Imposto sobre a distribuição</t>
        </is>
      </c>
      <c r="C44" s="35">
        <f>0</f>
        <v/>
      </c>
      <c r="D44" s="35">
        <f>0</f>
        <v/>
      </c>
      <c r="E44" s="35">
        <f>0</f>
        <v/>
      </c>
      <c r="F44" s="35">
        <f>V4_Soc_NaoTransparente!$E$27</f>
        <v/>
      </c>
      <c r="G44" s="17" t="inlineStr"/>
    </row>
    <row r="45">
      <c r="A45" s="22" t="inlineStr">
        <is>
          <t>TOTAL DE IMPOSTOS E CONTRIBUIÇÕES</t>
        </is>
      </c>
      <c r="C45" s="27">
        <f>V1_ENI_Simplificado!$E$37</f>
        <v/>
      </c>
      <c r="D45" s="27">
        <f>V2_ENI_ContOrg!$E$26</f>
        <v/>
      </c>
      <c r="E45" s="27">
        <f>V3_Soc_Transparente!$E$32</f>
        <v/>
      </c>
      <c r="F45" s="27">
        <f>V4_Soc_NaoTransparente!$E$40</f>
        <v/>
      </c>
      <c r="G45" s="17" t="inlineStr"/>
    </row>
    <row r="46">
      <c r="A46" s="8" t="inlineStr">
        <is>
          <t>Taxa de esforço sobre a caixa gerada</t>
        </is>
      </c>
      <c r="C46" s="36">
        <f>V1_ENI_Simplificado!$E$38</f>
        <v/>
      </c>
      <c r="D46" s="36">
        <f>V2_ENI_ContOrg!$E$27</f>
        <v/>
      </c>
      <c r="E46" s="36">
        <f>V3_Soc_Transparente!$E$33</f>
        <v/>
      </c>
      <c r="F46" s="36">
        <f>V4_Soc_NaoTransparente!$E$41</f>
        <v/>
      </c>
      <c r="G46" s="17" t="inlineStr"/>
    </row>
    <row r="47">
      <c r="A47" s="8" t="inlineStr">
        <is>
          <t>Valor retido na sociedade</t>
        </is>
      </c>
      <c r="C47" s="35">
        <f>V1_ENI_Simplificado!$E$39</f>
        <v/>
      </c>
      <c r="D47" s="35">
        <f>V2_ENI_ContOrg!$E$28</f>
        <v/>
      </c>
      <c r="E47" s="35">
        <f>V3_Soc_Transparente!$E$34</f>
        <v/>
      </c>
      <c r="F47" s="35">
        <f>V4_Soc_NaoTransparente!$E$42</f>
        <v/>
      </c>
      <c r="G47" s="17" t="inlineStr">
        <is>
          <t>Não é perda, mas também não é liquidez da sócia. Tem de aparecer separado.</t>
        </is>
      </c>
    </row>
    <row r="48">
      <c r="A48" s="8" t="inlineStr">
        <is>
          <t>Valor atribuído ao cônjuge</t>
        </is>
      </c>
      <c r="C48" s="35">
        <f>V1_ENI_Simplificado!$E$40</f>
        <v/>
      </c>
      <c r="D48" s="35">
        <f>V2_ENI_ContOrg!$E$29</f>
        <v/>
      </c>
      <c r="E48" s="35">
        <f>V3_Soc_Transparente!$E$35</f>
        <v/>
      </c>
      <c r="F48" s="35">
        <f>V4_Soc_NaoTransparente!$E$43</f>
        <v/>
      </c>
      <c r="G48" s="17" t="inlineStr"/>
    </row>
    <row r="49">
      <c r="A49" s="22" t="inlineStr">
        <is>
          <t>LÍQUIDO DISPONÍVEL PARA A SÓCIA</t>
        </is>
      </c>
      <c r="C49" s="27">
        <f>V1_ENI_Simplificado!$E$41</f>
        <v/>
      </c>
      <c r="D49" s="27">
        <f>V2_ENI_ContOrg!$E$30</f>
        <v/>
      </c>
      <c r="E49" s="27">
        <f>V3_Soc_Transparente!$E$36</f>
        <v/>
      </c>
      <c r="F49" s="27">
        <f>V4_Soc_NaoTransparente!$E$44</f>
        <v/>
      </c>
      <c r="G49" s="17" t="inlineStr">
        <is>
          <t>Indicador de decisão.</t>
        </is>
      </c>
    </row>
    <row r="50">
      <c r="A50" s="22" t="inlineStr">
        <is>
          <t>LÍQUIDO DISPONÍVEL PARA O AGREGADO</t>
        </is>
      </c>
      <c r="C50" s="27">
        <f>V1_ENI_Simplificado!$E$42</f>
        <v/>
      </c>
      <c r="D50" s="27">
        <f>V2_ENI_ContOrg!$E$31</f>
        <v/>
      </c>
      <c r="E50" s="27">
        <f>V3_Soc_Transparente!$E$37</f>
        <v/>
      </c>
      <c r="F50" s="27">
        <f>V4_Soc_NaoTransparente!$E$45</f>
        <v/>
      </c>
      <c r="G50" s="17" t="inlineStr"/>
    </row>
    <row r="51">
      <c r="A51" s="8" t="inlineStr">
        <is>
          <t>Diferencial face à via 1 (líquido para a sócia)</t>
        </is>
      </c>
      <c r="C51" s="28">
        <f>C49-$C$49</f>
        <v/>
      </c>
      <c r="D51" s="28">
        <f>D49-$C$49</f>
        <v/>
      </c>
      <c r="E51" s="28">
        <f>E49-$C$49</f>
        <v/>
      </c>
      <c r="F51" s="28">
        <f>F49-$C$49</f>
        <v/>
      </c>
    </row>
    <row r="52">
      <c r="A52" s="22" t="inlineStr">
        <is>
          <t>Via com maior líquido para a sócia</t>
        </is>
      </c>
      <c r="C52" s="26">
        <f>INDEX($C$39:$F$39,1,MATCH(MAX($C$49:$F$49),$C$49:$F$49,0))</f>
        <v/>
      </c>
      <c r="D52" s="39" t="n"/>
      <c r="E52" s="39" t="n"/>
      <c r="F52" s="40" t="n"/>
    </row>
    <row r="55">
      <c r="A55" s="5" t="inlineStr">
        <is>
          <t>Leitura obrigatória antes de citar qualquer número: os inputs são placeholders. Estes resultados demonstram que o motor funciona e indicam a direção do efeito; não são conclusões sobre o caso da Dra. Júlia.</t>
        </is>
      </c>
    </row>
  </sheetData>
  <mergeCells count="5">
    <mergeCell ref="C52:F52"/>
    <mergeCell ref="C18:F18"/>
    <mergeCell ref="C35:F35"/>
    <mergeCell ref="A55:G55"/>
    <mergeCell ref="A2:G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27"/>
  <sheetViews>
    <sheetView showGridLines="0" workbookViewId="0">
      <pane ySplit="7" topLeftCell="A8"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s>
  <sheetData>
    <row r="1">
      <c r="A1" s="1" t="inlineStr">
        <is>
          <t>M1 — Ponto de viragem do regime simplificado</t>
        </is>
      </c>
    </row>
    <row r="2" ht="44" customHeight="1">
      <c r="A2" s="20"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4">
      <c r="A4" s="8" t="inlineStr">
        <is>
          <t>Rendimento bruto (cenário Base)</t>
        </is>
      </c>
      <c r="C4" s="41">
        <f>(Inputs!$D$42+Inputs!$D$43)</f>
        <v/>
      </c>
    </row>
    <row r="5">
      <c r="A5" s="8" t="inlineStr">
        <is>
          <t>Rendimento do cônjuge</t>
        </is>
      </c>
      <c r="C5" s="41">
        <f>Inputs!$D$37</f>
        <v/>
      </c>
    </row>
    <row r="7" ht="28" customHeight="1">
      <c r="A7" s="6" t="inlineStr">
        <is>
          <t>% custos</t>
        </is>
      </c>
      <c r="B7" s="6" t="inlineStr">
        <is>
          <t>Custos reais</t>
        </is>
      </c>
      <c r="C7" s="6" t="inlineStr">
        <is>
          <t>Rend. líq. cat. B (via 1)</t>
        </is>
      </c>
      <c r="D7" s="6" t="inlineStr">
        <is>
          <t>SS via 1</t>
        </is>
      </c>
      <c r="E7" s="6" t="inlineStr">
        <is>
          <t>IRS via 1</t>
        </is>
      </c>
      <c r="F7" s="6" t="inlineStr">
        <is>
          <t>Carga via 1</t>
        </is>
      </c>
      <c r="G7" s="6" t="inlineStr">
        <is>
          <t>Lucro tribut. (via 2)</t>
        </is>
      </c>
      <c r="H7" s="6" t="inlineStr">
        <is>
          <t>SS via 2</t>
        </is>
      </c>
      <c r="I7" s="6" t="inlineStr">
        <is>
          <t>IRS via 2</t>
        </is>
      </c>
      <c r="J7" s="6" t="inlineStr">
        <is>
          <t>Carga via 2</t>
        </is>
      </c>
      <c r="K7" s="6" t="inlineStr">
        <is>
          <t>Diferencial</t>
        </is>
      </c>
      <c r="L7" s="6" t="inlineStr">
        <is>
          <t>Viragem</t>
        </is>
      </c>
    </row>
    <row r="8">
      <c r="A8" s="42" t="n">
        <v>0.05</v>
      </c>
      <c r="B8" s="28">
        <f>$C$4*A8</f>
        <v/>
      </c>
      <c r="C8" s="28">
        <f>$C$4*Parametros!$C$19+MAX(0,$C$4*Parametros!$C$20-(Parametros!$C$21+B8))-MAX(0,D8-$C$4*Parametros!$C$22)</f>
        <v/>
      </c>
      <c r="D8" s="28">
        <f>MAX(MIN($C$4*Parametros!$C$7,Parametros!$C$6*Parametros!$C$9*12)*Parametros!$C$8,Parametros!$C$10*12)</f>
        <v/>
      </c>
      <c r="E8" s="28">
        <f>IF(Inputs!$D$38=1,2*(SUMPRODUCT((((C8+$C$5)/2)&gt;Parametros!$B$50:$B$58)*(((C8+$C$5)/2)-Parametros!$B$50:$B$58)*Parametros!$E$50:$E$58)+SUMPRODUCT((((C8+$C$5)/2)&gt;Parametros!$B$62:$B$63)*(((C8+$C$5)/2)-Parametros!$B$62:$B$63)*Parametros!$E$62:$E$63)),SUMPRODUCT(((C8+$C$5)&gt;Parametros!$B$50:$B$58)*((C8+$C$5)-Parametros!$B$50:$B$58)*Parametros!$E$50:$E$58)+SUMPRODUCT(((C8+$C$5)&gt;Parametros!$B$62:$B$63)*((C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8" s="43">
        <f>D8+E8</f>
        <v/>
      </c>
      <c r="G8" s="28">
        <f>MAX(0,$C$4-B8-H8)</f>
        <v/>
      </c>
      <c r="H8" s="28">
        <f>MAX(MIN(MAX($C$4-B8,0),Parametros!$C$6*Parametros!$C$9*12)*Parametros!$C$8,Parametros!$C$10*12)</f>
        <v/>
      </c>
      <c r="I8" s="28">
        <f>IF(Inputs!$D$38=1,2*(SUMPRODUCT((((G8+$C$5)/2)&gt;Parametros!$B$50:$B$58)*(((G8+$C$5)/2)-Parametros!$B$50:$B$58)*Parametros!$E$50:$E$58)+SUMPRODUCT((((G8+$C$5)/2)&gt;Parametros!$B$62:$B$63)*(((G8+$C$5)/2)-Parametros!$B$62:$B$63)*Parametros!$E$62:$E$63)),SUMPRODUCT(((G8+$C$5)&gt;Parametros!$B$50:$B$58)*((G8+$C$5)-Parametros!$B$50:$B$58)*Parametros!$E$50:$E$58)+SUMPRODUCT(((G8+$C$5)&gt;Parametros!$B$62:$B$63)*((G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8" s="43">
        <f>H8+I8</f>
        <v/>
      </c>
      <c r="K8" s="28">
        <f>F8-J8</f>
        <v/>
      </c>
      <c r="L8" s="37">
        <f>0</f>
        <v/>
      </c>
    </row>
    <row r="9">
      <c r="A9" s="42" t="n">
        <v>0.1</v>
      </c>
      <c r="B9" s="28">
        <f>$C$4*A9</f>
        <v/>
      </c>
      <c r="C9" s="28">
        <f>$C$4*Parametros!$C$19+MAX(0,$C$4*Parametros!$C$20-(Parametros!$C$21+B9))-MAX(0,D9-$C$4*Parametros!$C$22)</f>
        <v/>
      </c>
      <c r="D9" s="28">
        <f>MAX(MIN($C$4*Parametros!$C$7,Parametros!$C$6*Parametros!$C$9*12)*Parametros!$C$8,Parametros!$C$10*12)</f>
        <v/>
      </c>
      <c r="E9" s="28">
        <f>IF(Inputs!$D$38=1,2*(SUMPRODUCT((((C9+$C$5)/2)&gt;Parametros!$B$50:$B$58)*(((C9+$C$5)/2)-Parametros!$B$50:$B$58)*Parametros!$E$50:$E$58)+SUMPRODUCT((((C9+$C$5)/2)&gt;Parametros!$B$62:$B$63)*(((C9+$C$5)/2)-Parametros!$B$62:$B$63)*Parametros!$E$62:$E$63)),SUMPRODUCT(((C9+$C$5)&gt;Parametros!$B$50:$B$58)*((C9+$C$5)-Parametros!$B$50:$B$58)*Parametros!$E$50:$E$58)+SUMPRODUCT(((C9+$C$5)&gt;Parametros!$B$62:$B$63)*((C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9" s="43">
        <f>D9+E9</f>
        <v/>
      </c>
      <c r="G9" s="28">
        <f>MAX(0,$C$4-B9-H9)</f>
        <v/>
      </c>
      <c r="H9" s="28">
        <f>MAX(MIN(MAX($C$4-B9,0),Parametros!$C$6*Parametros!$C$9*12)*Parametros!$C$8,Parametros!$C$10*12)</f>
        <v/>
      </c>
      <c r="I9" s="28">
        <f>IF(Inputs!$D$38=1,2*(SUMPRODUCT((((G9+$C$5)/2)&gt;Parametros!$B$50:$B$58)*(((G9+$C$5)/2)-Parametros!$B$50:$B$58)*Parametros!$E$50:$E$58)+SUMPRODUCT((((G9+$C$5)/2)&gt;Parametros!$B$62:$B$63)*(((G9+$C$5)/2)-Parametros!$B$62:$B$63)*Parametros!$E$62:$E$63)),SUMPRODUCT(((G9+$C$5)&gt;Parametros!$B$50:$B$58)*((G9+$C$5)-Parametros!$B$50:$B$58)*Parametros!$E$50:$E$58)+SUMPRODUCT(((G9+$C$5)&gt;Parametros!$B$62:$B$63)*((G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9" s="43">
        <f>H9+I9</f>
        <v/>
      </c>
      <c r="K9" s="28">
        <f>F9-J9</f>
        <v/>
      </c>
      <c r="L9" s="37">
        <f>IF(AND(K9&gt;=0,K8&lt;0),A9,0)</f>
        <v/>
      </c>
    </row>
    <row r="10">
      <c r="A10" s="42" t="n">
        <v>0.15</v>
      </c>
      <c r="B10" s="28">
        <f>$C$4*A10</f>
        <v/>
      </c>
      <c r="C10" s="28">
        <f>$C$4*Parametros!$C$19+MAX(0,$C$4*Parametros!$C$20-(Parametros!$C$21+B10))-MAX(0,D10-$C$4*Parametros!$C$22)</f>
        <v/>
      </c>
      <c r="D10" s="28">
        <f>MAX(MIN($C$4*Parametros!$C$7,Parametros!$C$6*Parametros!$C$9*12)*Parametros!$C$8,Parametros!$C$10*12)</f>
        <v/>
      </c>
      <c r="E10" s="28">
        <f>IF(Inputs!$D$38=1,2*(SUMPRODUCT((((C10+$C$5)/2)&gt;Parametros!$B$50:$B$58)*(((C10+$C$5)/2)-Parametros!$B$50:$B$58)*Parametros!$E$50:$E$58)+SUMPRODUCT((((C10+$C$5)/2)&gt;Parametros!$B$62:$B$63)*(((C10+$C$5)/2)-Parametros!$B$62:$B$63)*Parametros!$E$62:$E$63)),SUMPRODUCT(((C10+$C$5)&gt;Parametros!$B$50:$B$58)*((C10+$C$5)-Parametros!$B$50:$B$58)*Parametros!$E$50:$E$58)+SUMPRODUCT(((C10+$C$5)&gt;Parametros!$B$62:$B$63)*((C10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0" s="43">
        <f>D10+E10</f>
        <v/>
      </c>
      <c r="G10" s="28">
        <f>MAX(0,$C$4-B10-H10)</f>
        <v/>
      </c>
      <c r="H10" s="28">
        <f>MAX(MIN(MAX($C$4-B10,0),Parametros!$C$6*Parametros!$C$9*12)*Parametros!$C$8,Parametros!$C$10*12)</f>
        <v/>
      </c>
      <c r="I10" s="28">
        <f>IF(Inputs!$D$38=1,2*(SUMPRODUCT((((G10+$C$5)/2)&gt;Parametros!$B$50:$B$58)*(((G10+$C$5)/2)-Parametros!$B$50:$B$58)*Parametros!$E$50:$E$58)+SUMPRODUCT((((G10+$C$5)/2)&gt;Parametros!$B$62:$B$63)*(((G10+$C$5)/2)-Parametros!$B$62:$B$63)*Parametros!$E$62:$E$63)),SUMPRODUCT(((G10+$C$5)&gt;Parametros!$B$50:$B$58)*((G10+$C$5)-Parametros!$B$50:$B$58)*Parametros!$E$50:$E$58)+SUMPRODUCT(((G10+$C$5)&gt;Parametros!$B$62:$B$63)*((G10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0" s="43">
        <f>H10+I10</f>
        <v/>
      </c>
      <c r="K10" s="28">
        <f>F10-J10</f>
        <v/>
      </c>
      <c r="L10" s="37">
        <f>IF(AND(K10&gt;=0,K9&lt;0),A10,0)</f>
        <v/>
      </c>
    </row>
    <row r="11">
      <c r="A11" s="42" t="n">
        <v>0.2</v>
      </c>
      <c r="B11" s="28">
        <f>$C$4*A11</f>
        <v/>
      </c>
      <c r="C11" s="28">
        <f>$C$4*Parametros!$C$19+MAX(0,$C$4*Parametros!$C$20-(Parametros!$C$21+B11))-MAX(0,D11-$C$4*Parametros!$C$22)</f>
        <v/>
      </c>
      <c r="D11" s="28">
        <f>MAX(MIN($C$4*Parametros!$C$7,Parametros!$C$6*Parametros!$C$9*12)*Parametros!$C$8,Parametros!$C$10*12)</f>
        <v/>
      </c>
      <c r="E11" s="28">
        <f>IF(Inputs!$D$38=1,2*(SUMPRODUCT((((C11+$C$5)/2)&gt;Parametros!$B$50:$B$58)*(((C11+$C$5)/2)-Parametros!$B$50:$B$58)*Parametros!$E$50:$E$58)+SUMPRODUCT((((C11+$C$5)/2)&gt;Parametros!$B$62:$B$63)*(((C11+$C$5)/2)-Parametros!$B$62:$B$63)*Parametros!$E$62:$E$63)),SUMPRODUCT(((C11+$C$5)&gt;Parametros!$B$50:$B$58)*((C11+$C$5)-Parametros!$B$50:$B$58)*Parametros!$E$50:$E$58)+SUMPRODUCT(((C11+$C$5)&gt;Parametros!$B$62:$B$63)*((C11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1" s="43">
        <f>D11+E11</f>
        <v/>
      </c>
      <c r="G11" s="28">
        <f>MAX(0,$C$4-B11-H11)</f>
        <v/>
      </c>
      <c r="H11" s="28">
        <f>MAX(MIN(MAX($C$4-B11,0),Parametros!$C$6*Parametros!$C$9*12)*Parametros!$C$8,Parametros!$C$10*12)</f>
        <v/>
      </c>
      <c r="I11" s="28">
        <f>IF(Inputs!$D$38=1,2*(SUMPRODUCT((((G11+$C$5)/2)&gt;Parametros!$B$50:$B$58)*(((G11+$C$5)/2)-Parametros!$B$50:$B$58)*Parametros!$E$50:$E$58)+SUMPRODUCT((((G11+$C$5)/2)&gt;Parametros!$B$62:$B$63)*(((G11+$C$5)/2)-Parametros!$B$62:$B$63)*Parametros!$E$62:$E$63)),SUMPRODUCT(((G11+$C$5)&gt;Parametros!$B$50:$B$58)*((G11+$C$5)-Parametros!$B$50:$B$58)*Parametros!$E$50:$E$58)+SUMPRODUCT(((G11+$C$5)&gt;Parametros!$B$62:$B$63)*((G11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1" s="43">
        <f>H11+I11</f>
        <v/>
      </c>
      <c r="K11" s="28">
        <f>F11-J11</f>
        <v/>
      </c>
      <c r="L11" s="37">
        <f>IF(AND(K11&gt;=0,K10&lt;0),A11,0)</f>
        <v/>
      </c>
    </row>
    <row r="12">
      <c r="A12" s="42" t="n">
        <v>0.25</v>
      </c>
      <c r="B12" s="28">
        <f>$C$4*A12</f>
        <v/>
      </c>
      <c r="C12" s="28">
        <f>$C$4*Parametros!$C$19+MAX(0,$C$4*Parametros!$C$20-(Parametros!$C$21+B12))-MAX(0,D12-$C$4*Parametros!$C$22)</f>
        <v/>
      </c>
      <c r="D12" s="28">
        <f>MAX(MIN($C$4*Parametros!$C$7,Parametros!$C$6*Parametros!$C$9*12)*Parametros!$C$8,Parametros!$C$10*12)</f>
        <v/>
      </c>
      <c r="E12" s="28">
        <f>IF(Inputs!$D$38=1,2*(SUMPRODUCT((((C12+$C$5)/2)&gt;Parametros!$B$50:$B$58)*(((C12+$C$5)/2)-Parametros!$B$50:$B$58)*Parametros!$E$50:$E$58)+SUMPRODUCT((((C12+$C$5)/2)&gt;Parametros!$B$62:$B$63)*(((C12+$C$5)/2)-Parametros!$B$62:$B$63)*Parametros!$E$62:$E$63)),SUMPRODUCT(((C12+$C$5)&gt;Parametros!$B$50:$B$58)*((C12+$C$5)-Parametros!$B$50:$B$58)*Parametros!$E$50:$E$58)+SUMPRODUCT(((C12+$C$5)&gt;Parametros!$B$62:$B$63)*((C12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2" s="43">
        <f>D12+E12</f>
        <v/>
      </c>
      <c r="G12" s="28">
        <f>MAX(0,$C$4-B12-H12)</f>
        <v/>
      </c>
      <c r="H12" s="28">
        <f>MAX(MIN(MAX($C$4-B12,0),Parametros!$C$6*Parametros!$C$9*12)*Parametros!$C$8,Parametros!$C$10*12)</f>
        <v/>
      </c>
      <c r="I12" s="28">
        <f>IF(Inputs!$D$38=1,2*(SUMPRODUCT((((G12+$C$5)/2)&gt;Parametros!$B$50:$B$58)*(((G12+$C$5)/2)-Parametros!$B$50:$B$58)*Parametros!$E$50:$E$58)+SUMPRODUCT((((G12+$C$5)/2)&gt;Parametros!$B$62:$B$63)*(((G12+$C$5)/2)-Parametros!$B$62:$B$63)*Parametros!$E$62:$E$63)),SUMPRODUCT(((G12+$C$5)&gt;Parametros!$B$50:$B$58)*((G12+$C$5)-Parametros!$B$50:$B$58)*Parametros!$E$50:$E$58)+SUMPRODUCT(((G12+$C$5)&gt;Parametros!$B$62:$B$63)*((G12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2" s="43">
        <f>H12+I12</f>
        <v/>
      </c>
      <c r="K12" s="28">
        <f>F12-J12</f>
        <v/>
      </c>
      <c r="L12" s="37">
        <f>IF(AND(K12&gt;=0,K11&lt;0),A12,0)</f>
        <v/>
      </c>
    </row>
    <row r="13">
      <c r="A13" s="42" t="n">
        <v>0.3</v>
      </c>
      <c r="B13" s="28">
        <f>$C$4*A13</f>
        <v/>
      </c>
      <c r="C13" s="28">
        <f>$C$4*Parametros!$C$19+MAX(0,$C$4*Parametros!$C$20-(Parametros!$C$21+B13))-MAX(0,D13-$C$4*Parametros!$C$22)</f>
        <v/>
      </c>
      <c r="D13" s="28">
        <f>MAX(MIN($C$4*Parametros!$C$7,Parametros!$C$6*Parametros!$C$9*12)*Parametros!$C$8,Parametros!$C$10*12)</f>
        <v/>
      </c>
      <c r="E13" s="28">
        <f>IF(Inputs!$D$38=1,2*(SUMPRODUCT((((C13+$C$5)/2)&gt;Parametros!$B$50:$B$58)*(((C13+$C$5)/2)-Parametros!$B$50:$B$58)*Parametros!$E$50:$E$58)+SUMPRODUCT((((C13+$C$5)/2)&gt;Parametros!$B$62:$B$63)*(((C13+$C$5)/2)-Parametros!$B$62:$B$63)*Parametros!$E$62:$E$63)),SUMPRODUCT(((C13+$C$5)&gt;Parametros!$B$50:$B$58)*((C13+$C$5)-Parametros!$B$50:$B$58)*Parametros!$E$50:$E$58)+SUMPRODUCT(((C13+$C$5)&gt;Parametros!$B$62:$B$63)*((C13+$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3" s="43">
        <f>D13+E13</f>
        <v/>
      </c>
      <c r="G13" s="28">
        <f>MAX(0,$C$4-B13-H13)</f>
        <v/>
      </c>
      <c r="H13" s="28">
        <f>MAX(MIN(MAX($C$4-B13,0),Parametros!$C$6*Parametros!$C$9*12)*Parametros!$C$8,Parametros!$C$10*12)</f>
        <v/>
      </c>
      <c r="I13" s="28">
        <f>IF(Inputs!$D$38=1,2*(SUMPRODUCT((((G13+$C$5)/2)&gt;Parametros!$B$50:$B$58)*(((G13+$C$5)/2)-Parametros!$B$50:$B$58)*Parametros!$E$50:$E$58)+SUMPRODUCT((((G13+$C$5)/2)&gt;Parametros!$B$62:$B$63)*(((G13+$C$5)/2)-Parametros!$B$62:$B$63)*Parametros!$E$62:$E$63)),SUMPRODUCT(((G13+$C$5)&gt;Parametros!$B$50:$B$58)*((G13+$C$5)-Parametros!$B$50:$B$58)*Parametros!$E$50:$E$58)+SUMPRODUCT(((G13+$C$5)&gt;Parametros!$B$62:$B$63)*((G13+$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3" s="43">
        <f>H13+I13</f>
        <v/>
      </c>
      <c r="K13" s="28">
        <f>F13-J13</f>
        <v/>
      </c>
      <c r="L13" s="37">
        <f>IF(AND(K13&gt;=0,K12&lt;0),A13,0)</f>
        <v/>
      </c>
    </row>
    <row r="14">
      <c r="A14" s="42" t="n">
        <v>0.35</v>
      </c>
      <c r="B14" s="28">
        <f>$C$4*A14</f>
        <v/>
      </c>
      <c r="C14" s="28">
        <f>$C$4*Parametros!$C$19+MAX(0,$C$4*Parametros!$C$20-(Parametros!$C$21+B14))-MAX(0,D14-$C$4*Parametros!$C$22)</f>
        <v/>
      </c>
      <c r="D14" s="28">
        <f>MAX(MIN($C$4*Parametros!$C$7,Parametros!$C$6*Parametros!$C$9*12)*Parametros!$C$8,Parametros!$C$10*12)</f>
        <v/>
      </c>
      <c r="E14" s="28">
        <f>IF(Inputs!$D$38=1,2*(SUMPRODUCT((((C14+$C$5)/2)&gt;Parametros!$B$50:$B$58)*(((C14+$C$5)/2)-Parametros!$B$50:$B$58)*Parametros!$E$50:$E$58)+SUMPRODUCT((((C14+$C$5)/2)&gt;Parametros!$B$62:$B$63)*(((C14+$C$5)/2)-Parametros!$B$62:$B$63)*Parametros!$E$62:$E$63)),SUMPRODUCT(((C14+$C$5)&gt;Parametros!$B$50:$B$58)*((C14+$C$5)-Parametros!$B$50:$B$58)*Parametros!$E$50:$E$58)+SUMPRODUCT(((C14+$C$5)&gt;Parametros!$B$62:$B$63)*((C14+$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4" s="43">
        <f>D14+E14</f>
        <v/>
      </c>
      <c r="G14" s="28">
        <f>MAX(0,$C$4-B14-H14)</f>
        <v/>
      </c>
      <c r="H14" s="28">
        <f>MAX(MIN(MAX($C$4-B14,0),Parametros!$C$6*Parametros!$C$9*12)*Parametros!$C$8,Parametros!$C$10*12)</f>
        <v/>
      </c>
      <c r="I14" s="28">
        <f>IF(Inputs!$D$38=1,2*(SUMPRODUCT((((G14+$C$5)/2)&gt;Parametros!$B$50:$B$58)*(((G14+$C$5)/2)-Parametros!$B$50:$B$58)*Parametros!$E$50:$E$58)+SUMPRODUCT((((G14+$C$5)/2)&gt;Parametros!$B$62:$B$63)*(((G14+$C$5)/2)-Parametros!$B$62:$B$63)*Parametros!$E$62:$E$63)),SUMPRODUCT(((G14+$C$5)&gt;Parametros!$B$50:$B$58)*((G14+$C$5)-Parametros!$B$50:$B$58)*Parametros!$E$50:$E$58)+SUMPRODUCT(((G14+$C$5)&gt;Parametros!$B$62:$B$63)*((G14+$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4" s="43">
        <f>H14+I14</f>
        <v/>
      </c>
      <c r="K14" s="28">
        <f>F14-J14</f>
        <v/>
      </c>
      <c r="L14" s="37">
        <f>IF(AND(K14&gt;=0,K13&lt;0),A14,0)</f>
        <v/>
      </c>
    </row>
    <row r="15">
      <c r="A15" s="42" t="n">
        <v>0.4</v>
      </c>
      <c r="B15" s="28">
        <f>$C$4*A15</f>
        <v/>
      </c>
      <c r="C15" s="28">
        <f>$C$4*Parametros!$C$19+MAX(0,$C$4*Parametros!$C$20-(Parametros!$C$21+B15))-MAX(0,D15-$C$4*Parametros!$C$22)</f>
        <v/>
      </c>
      <c r="D15" s="28">
        <f>MAX(MIN($C$4*Parametros!$C$7,Parametros!$C$6*Parametros!$C$9*12)*Parametros!$C$8,Parametros!$C$10*12)</f>
        <v/>
      </c>
      <c r="E15" s="28">
        <f>IF(Inputs!$D$38=1,2*(SUMPRODUCT((((C15+$C$5)/2)&gt;Parametros!$B$50:$B$58)*(((C15+$C$5)/2)-Parametros!$B$50:$B$58)*Parametros!$E$50:$E$58)+SUMPRODUCT((((C15+$C$5)/2)&gt;Parametros!$B$62:$B$63)*(((C15+$C$5)/2)-Parametros!$B$62:$B$63)*Parametros!$E$62:$E$63)),SUMPRODUCT(((C15+$C$5)&gt;Parametros!$B$50:$B$58)*((C15+$C$5)-Parametros!$B$50:$B$58)*Parametros!$E$50:$E$58)+SUMPRODUCT(((C15+$C$5)&gt;Parametros!$B$62:$B$63)*((C15+$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5" s="43">
        <f>D15+E15</f>
        <v/>
      </c>
      <c r="G15" s="28">
        <f>MAX(0,$C$4-B15-H15)</f>
        <v/>
      </c>
      <c r="H15" s="28">
        <f>MAX(MIN(MAX($C$4-B15,0),Parametros!$C$6*Parametros!$C$9*12)*Parametros!$C$8,Parametros!$C$10*12)</f>
        <v/>
      </c>
      <c r="I15" s="28">
        <f>IF(Inputs!$D$38=1,2*(SUMPRODUCT((((G15+$C$5)/2)&gt;Parametros!$B$50:$B$58)*(((G15+$C$5)/2)-Parametros!$B$50:$B$58)*Parametros!$E$50:$E$58)+SUMPRODUCT((((G15+$C$5)/2)&gt;Parametros!$B$62:$B$63)*(((G15+$C$5)/2)-Parametros!$B$62:$B$63)*Parametros!$E$62:$E$63)),SUMPRODUCT(((G15+$C$5)&gt;Parametros!$B$50:$B$58)*((G15+$C$5)-Parametros!$B$50:$B$58)*Parametros!$E$50:$E$58)+SUMPRODUCT(((G15+$C$5)&gt;Parametros!$B$62:$B$63)*((G15+$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5" s="43">
        <f>H15+I15</f>
        <v/>
      </c>
      <c r="K15" s="28">
        <f>F15-J15</f>
        <v/>
      </c>
      <c r="L15" s="37">
        <f>IF(AND(K15&gt;=0,K14&lt;0),A15,0)</f>
        <v/>
      </c>
    </row>
    <row r="16">
      <c r="A16" s="42" t="n">
        <v>0.45</v>
      </c>
      <c r="B16" s="28">
        <f>$C$4*A16</f>
        <v/>
      </c>
      <c r="C16" s="28">
        <f>$C$4*Parametros!$C$19+MAX(0,$C$4*Parametros!$C$20-(Parametros!$C$21+B16))-MAX(0,D16-$C$4*Parametros!$C$22)</f>
        <v/>
      </c>
      <c r="D16" s="28">
        <f>MAX(MIN($C$4*Parametros!$C$7,Parametros!$C$6*Parametros!$C$9*12)*Parametros!$C$8,Parametros!$C$10*12)</f>
        <v/>
      </c>
      <c r="E16" s="28">
        <f>IF(Inputs!$D$38=1,2*(SUMPRODUCT((((C16+$C$5)/2)&gt;Parametros!$B$50:$B$58)*(((C16+$C$5)/2)-Parametros!$B$50:$B$58)*Parametros!$E$50:$E$58)+SUMPRODUCT((((C16+$C$5)/2)&gt;Parametros!$B$62:$B$63)*(((C16+$C$5)/2)-Parametros!$B$62:$B$63)*Parametros!$E$62:$E$63)),SUMPRODUCT(((C16+$C$5)&gt;Parametros!$B$50:$B$58)*((C16+$C$5)-Parametros!$B$50:$B$58)*Parametros!$E$50:$E$58)+SUMPRODUCT(((C16+$C$5)&gt;Parametros!$B$62:$B$63)*((C16+$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6" s="43">
        <f>D16+E16</f>
        <v/>
      </c>
      <c r="G16" s="28">
        <f>MAX(0,$C$4-B16-H16)</f>
        <v/>
      </c>
      <c r="H16" s="28">
        <f>MAX(MIN(MAX($C$4-B16,0),Parametros!$C$6*Parametros!$C$9*12)*Parametros!$C$8,Parametros!$C$10*12)</f>
        <v/>
      </c>
      <c r="I16" s="28">
        <f>IF(Inputs!$D$38=1,2*(SUMPRODUCT((((G16+$C$5)/2)&gt;Parametros!$B$50:$B$58)*(((G16+$C$5)/2)-Parametros!$B$50:$B$58)*Parametros!$E$50:$E$58)+SUMPRODUCT((((G16+$C$5)/2)&gt;Parametros!$B$62:$B$63)*(((G16+$C$5)/2)-Parametros!$B$62:$B$63)*Parametros!$E$62:$E$63)),SUMPRODUCT(((G16+$C$5)&gt;Parametros!$B$50:$B$58)*((G16+$C$5)-Parametros!$B$50:$B$58)*Parametros!$E$50:$E$58)+SUMPRODUCT(((G16+$C$5)&gt;Parametros!$B$62:$B$63)*((G16+$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6" s="43">
        <f>H16+I16</f>
        <v/>
      </c>
      <c r="K16" s="28">
        <f>F16-J16</f>
        <v/>
      </c>
      <c r="L16" s="37">
        <f>IF(AND(K16&gt;=0,K15&lt;0),A16,0)</f>
        <v/>
      </c>
    </row>
    <row r="17">
      <c r="A17" s="42" t="n">
        <v>0.5</v>
      </c>
      <c r="B17" s="28">
        <f>$C$4*A17</f>
        <v/>
      </c>
      <c r="C17" s="28">
        <f>$C$4*Parametros!$C$19+MAX(0,$C$4*Parametros!$C$20-(Parametros!$C$21+B17))-MAX(0,D17-$C$4*Parametros!$C$22)</f>
        <v/>
      </c>
      <c r="D17" s="28">
        <f>MAX(MIN($C$4*Parametros!$C$7,Parametros!$C$6*Parametros!$C$9*12)*Parametros!$C$8,Parametros!$C$10*12)</f>
        <v/>
      </c>
      <c r="E17" s="28">
        <f>IF(Inputs!$D$38=1,2*(SUMPRODUCT((((C17+$C$5)/2)&gt;Parametros!$B$50:$B$58)*(((C17+$C$5)/2)-Parametros!$B$50:$B$58)*Parametros!$E$50:$E$58)+SUMPRODUCT((((C17+$C$5)/2)&gt;Parametros!$B$62:$B$63)*(((C17+$C$5)/2)-Parametros!$B$62:$B$63)*Parametros!$E$62:$E$63)),SUMPRODUCT(((C17+$C$5)&gt;Parametros!$B$50:$B$58)*((C17+$C$5)-Parametros!$B$50:$B$58)*Parametros!$E$50:$E$58)+SUMPRODUCT(((C17+$C$5)&gt;Parametros!$B$62:$B$63)*((C17+$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7" s="43">
        <f>D17+E17</f>
        <v/>
      </c>
      <c r="G17" s="28">
        <f>MAX(0,$C$4-B17-H17)</f>
        <v/>
      </c>
      <c r="H17" s="28">
        <f>MAX(MIN(MAX($C$4-B17,0),Parametros!$C$6*Parametros!$C$9*12)*Parametros!$C$8,Parametros!$C$10*12)</f>
        <v/>
      </c>
      <c r="I17" s="28">
        <f>IF(Inputs!$D$38=1,2*(SUMPRODUCT((((G17+$C$5)/2)&gt;Parametros!$B$50:$B$58)*(((G17+$C$5)/2)-Parametros!$B$50:$B$58)*Parametros!$E$50:$E$58)+SUMPRODUCT((((G17+$C$5)/2)&gt;Parametros!$B$62:$B$63)*(((G17+$C$5)/2)-Parametros!$B$62:$B$63)*Parametros!$E$62:$E$63)),SUMPRODUCT(((G17+$C$5)&gt;Parametros!$B$50:$B$58)*((G17+$C$5)-Parametros!$B$50:$B$58)*Parametros!$E$50:$E$58)+SUMPRODUCT(((G17+$C$5)&gt;Parametros!$B$62:$B$63)*((G17+$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7" s="43">
        <f>H17+I17</f>
        <v/>
      </c>
      <c r="K17" s="28">
        <f>F17-J17</f>
        <v/>
      </c>
      <c r="L17" s="37">
        <f>IF(AND(K17&gt;=0,K16&lt;0),A17,0)</f>
        <v/>
      </c>
    </row>
    <row r="18">
      <c r="A18" s="42" t="n">
        <v>0.55</v>
      </c>
      <c r="B18" s="28">
        <f>$C$4*A18</f>
        <v/>
      </c>
      <c r="C18" s="28">
        <f>$C$4*Parametros!$C$19+MAX(0,$C$4*Parametros!$C$20-(Parametros!$C$21+B18))-MAX(0,D18-$C$4*Parametros!$C$22)</f>
        <v/>
      </c>
      <c r="D18" s="28">
        <f>MAX(MIN($C$4*Parametros!$C$7,Parametros!$C$6*Parametros!$C$9*12)*Parametros!$C$8,Parametros!$C$10*12)</f>
        <v/>
      </c>
      <c r="E18" s="28">
        <f>IF(Inputs!$D$38=1,2*(SUMPRODUCT((((C18+$C$5)/2)&gt;Parametros!$B$50:$B$58)*(((C18+$C$5)/2)-Parametros!$B$50:$B$58)*Parametros!$E$50:$E$58)+SUMPRODUCT((((C18+$C$5)/2)&gt;Parametros!$B$62:$B$63)*(((C18+$C$5)/2)-Parametros!$B$62:$B$63)*Parametros!$E$62:$E$63)),SUMPRODUCT(((C18+$C$5)&gt;Parametros!$B$50:$B$58)*((C18+$C$5)-Parametros!$B$50:$B$58)*Parametros!$E$50:$E$58)+SUMPRODUCT(((C18+$C$5)&gt;Parametros!$B$62:$B$63)*((C18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8" s="43">
        <f>D18+E18</f>
        <v/>
      </c>
      <c r="G18" s="28">
        <f>MAX(0,$C$4-B18-H18)</f>
        <v/>
      </c>
      <c r="H18" s="28">
        <f>MAX(MIN(MAX($C$4-B18,0),Parametros!$C$6*Parametros!$C$9*12)*Parametros!$C$8,Parametros!$C$10*12)</f>
        <v/>
      </c>
      <c r="I18" s="28">
        <f>IF(Inputs!$D$38=1,2*(SUMPRODUCT((((G18+$C$5)/2)&gt;Parametros!$B$50:$B$58)*(((G18+$C$5)/2)-Parametros!$B$50:$B$58)*Parametros!$E$50:$E$58)+SUMPRODUCT((((G18+$C$5)/2)&gt;Parametros!$B$62:$B$63)*(((G18+$C$5)/2)-Parametros!$B$62:$B$63)*Parametros!$E$62:$E$63)),SUMPRODUCT(((G18+$C$5)&gt;Parametros!$B$50:$B$58)*((G18+$C$5)-Parametros!$B$50:$B$58)*Parametros!$E$50:$E$58)+SUMPRODUCT(((G18+$C$5)&gt;Parametros!$B$62:$B$63)*((G18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8" s="43">
        <f>H18+I18</f>
        <v/>
      </c>
      <c r="K18" s="28">
        <f>F18-J18</f>
        <v/>
      </c>
      <c r="L18" s="37">
        <f>IF(AND(K18&gt;=0,K17&lt;0),A18,0)</f>
        <v/>
      </c>
    </row>
    <row r="19">
      <c r="A19" s="42" t="n">
        <v>0.6000000000000001</v>
      </c>
      <c r="B19" s="28">
        <f>$C$4*A19</f>
        <v/>
      </c>
      <c r="C19" s="28">
        <f>$C$4*Parametros!$C$19+MAX(0,$C$4*Parametros!$C$20-(Parametros!$C$21+B19))-MAX(0,D19-$C$4*Parametros!$C$22)</f>
        <v/>
      </c>
      <c r="D19" s="28">
        <f>MAX(MIN($C$4*Parametros!$C$7,Parametros!$C$6*Parametros!$C$9*12)*Parametros!$C$8,Parametros!$C$10*12)</f>
        <v/>
      </c>
      <c r="E19" s="28">
        <f>IF(Inputs!$D$38=1,2*(SUMPRODUCT((((C19+$C$5)/2)&gt;Parametros!$B$50:$B$58)*(((C19+$C$5)/2)-Parametros!$B$50:$B$58)*Parametros!$E$50:$E$58)+SUMPRODUCT((((C19+$C$5)/2)&gt;Parametros!$B$62:$B$63)*(((C19+$C$5)/2)-Parametros!$B$62:$B$63)*Parametros!$E$62:$E$63)),SUMPRODUCT(((C19+$C$5)&gt;Parametros!$B$50:$B$58)*((C19+$C$5)-Parametros!$B$50:$B$58)*Parametros!$E$50:$E$58)+SUMPRODUCT(((C19+$C$5)&gt;Parametros!$B$62:$B$63)*((C19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9" s="43">
        <f>D19+E19</f>
        <v/>
      </c>
      <c r="G19" s="28">
        <f>MAX(0,$C$4-B19-H19)</f>
        <v/>
      </c>
      <c r="H19" s="28">
        <f>MAX(MIN(MAX($C$4-B19,0),Parametros!$C$6*Parametros!$C$9*12)*Parametros!$C$8,Parametros!$C$10*12)</f>
        <v/>
      </c>
      <c r="I19" s="28">
        <f>IF(Inputs!$D$38=1,2*(SUMPRODUCT((((G19+$C$5)/2)&gt;Parametros!$B$50:$B$58)*(((G19+$C$5)/2)-Parametros!$B$50:$B$58)*Parametros!$E$50:$E$58)+SUMPRODUCT((((G19+$C$5)/2)&gt;Parametros!$B$62:$B$63)*(((G19+$C$5)/2)-Parametros!$B$62:$B$63)*Parametros!$E$62:$E$63)),SUMPRODUCT(((G19+$C$5)&gt;Parametros!$B$50:$B$58)*((G19+$C$5)-Parametros!$B$50:$B$58)*Parametros!$E$50:$E$58)+SUMPRODUCT(((G19+$C$5)&gt;Parametros!$B$62:$B$63)*((G19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9" s="43">
        <f>H19+I19</f>
        <v/>
      </c>
      <c r="K19" s="28">
        <f>F19-J19</f>
        <v/>
      </c>
      <c r="L19" s="37">
        <f>IF(AND(K19&gt;=0,K18&lt;0),A19,0)</f>
        <v/>
      </c>
    </row>
    <row r="20">
      <c r="A20" s="42" t="n">
        <v>0.65</v>
      </c>
      <c r="B20" s="28">
        <f>$C$4*A20</f>
        <v/>
      </c>
      <c r="C20" s="28">
        <f>$C$4*Parametros!$C$19+MAX(0,$C$4*Parametros!$C$20-(Parametros!$C$21+B20))-MAX(0,D20-$C$4*Parametros!$C$22)</f>
        <v/>
      </c>
      <c r="D20" s="28">
        <f>MAX(MIN($C$4*Parametros!$C$7,Parametros!$C$6*Parametros!$C$9*12)*Parametros!$C$8,Parametros!$C$10*12)</f>
        <v/>
      </c>
      <c r="E20" s="28">
        <f>IF(Inputs!$D$38=1,2*(SUMPRODUCT((((C20+$C$5)/2)&gt;Parametros!$B$50:$B$58)*(((C20+$C$5)/2)-Parametros!$B$50:$B$58)*Parametros!$E$50:$E$58)+SUMPRODUCT((((C20+$C$5)/2)&gt;Parametros!$B$62:$B$63)*(((C20+$C$5)/2)-Parametros!$B$62:$B$63)*Parametros!$E$62:$E$63)),SUMPRODUCT(((C20+$C$5)&gt;Parametros!$B$50:$B$58)*((C20+$C$5)-Parametros!$B$50:$B$58)*Parametros!$E$50:$E$58)+SUMPRODUCT(((C20+$C$5)&gt;Parametros!$B$62:$B$63)*((C20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20" s="43">
        <f>D20+E20</f>
        <v/>
      </c>
      <c r="G20" s="28">
        <f>MAX(0,$C$4-B20-H20)</f>
        <v/>
      </c>
      <c r="H20" s="28">
        <f>MAX(MIN(MAX($C$4-B20,0),Parametros!$C$6*Parametros!$C$9*12)*Parametros!$C$8,Parametros!$C$10*12)</f>
        <v/>
      </c>
      <c r="I20" s="28">
        <f>IF(Inputs!$D$38=1,2*(SUMPRODUCT((((G20+$C$5)/2)&gt;Parametros!$B$50:$B$58)*(((G20+$C$5)/2)-Parametros!$B$50:$B$58)*Parametros!$E$50:$E$58)+SUMPRODUCT((((G20+$C$5)/2)&gt;Parametros!$B$62:$B$63)*(((G20+$C$5)/2)-Parametros!$B$62:$B$63)*Parametros!$E$62:$E$63)),SUMPRODUCT(((G20+$C$5)&gt;Parametros!$B$50:$B$58)*((G20+$C$5)-Parametros!$B$50:$B$58)*Parametros!$E$50:$E$58)+SUMPRODUCT(((G20+$C$5)&gt;Parametros!$B$62:$B$63)*((G20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20" s="43">
        <f>H20+I20</f>
        <v/>
      </c>
      <c r="K20" s="28">
        <f>F20-J20</f>
        <v/>
      </c>
      <c r="L20" s="37">
        <f>IF(AND(K20&gt;=0,K19&lt;0),A20,0)</f>
        <v/>
      </c>
    </row>
    <row r="21">
      <c r="A21" s="42" t="n">
        <v>0.7000000000000001</v>
      </c>
      <c r="B21" s="28">
        <f>$C$4*A21</f>
        <v/>
      </c>
      <c r="C21" s="28">
        <f>$C$4*Parametros!$C$19+MAX(0,$C$4*Parametros!$C$20-(Parametros!$C$21+B21))-MAX(0,D21-$C$4*Parametros!$C$22)</f>
        <v/>
      </c>
      <c r="D21" s="28">
        <f>MAX(MIN($C$4*Parametros!$C$7,Parametros!$C$6*Parametros!$C$9*12)*Parametros!$C$8,Parametros!$C$10*12)</f>
        <v/>
      </c>
      <c r="E21" s="28">
        <f>IF(Inputs!$D$38=1,2*(SUMPRODUCT((((C21+$C$5)/2)&gt;Parametros!$B$50:$B$58)*(((C21+$C$5)/2)-Parametros!$B$50:$B$58)*Parametros!$E$50:$E$58)+SUMPRODUCT((((C21+$C$5)/2)&gt;Parametros!$B$62:$B$63)*(((C21+$C$5)/2)-Parametros!$B$62:$B$63)*Parametros!$E$62:$E$63)),SUMPRODUCT(((C21+$C$5)&gt;Parametros!$B$50:$B$58)*((C21+$C$5)-Parametros!$B$50:$B$58)*Parametros!$E$50:$E$58)+SUMPRODUCT(((C21+$C$5)&gt;Parametros!$B$62:$B$63)*((C21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21" s="43">
        <f>D21+E21</f>
        <v/>
      </c>
      <c r="G21" s="28">
        <f>MAX(0,$C$4-B21-H21)</f>
        <v/>
      </c>
      <c r="H21" s="28">
        <f>MAX(MIN(MAX($C$4-B21,0),Parametros!$C$6*Parametros!$C$9*12)*Parametros!$C$8,Parametros!$C$10*12)</f>
        <v/>
      </c>
      <c r="I21" s="28">
        <f>IF(Inputs!$D$38=1,2*(SUMPRODUCT((((G21+$C$5)/2)&gt;Parametros!$B$50:$B$58)*(((G21+$C$5)/2)-Parametros!$B$50:$B$58)*Parametros!$E$50:$E$58)+SUMPRODUCT((((G21+$C$5)/2)&gt;Parametros!$B$62:$B$63)*(((G21+$C$5)/2)-Parametros!$B$62:$B$63)*Parametros!$E$62:$E$63)),SUMPRODUCT(((G21+$C$5)&gt;Parametros!$B$50:$B$58)*((G21+$C$5)-Parametros!$B$50:$B$58)*Parametros!$E$50:$E$58)+SUMPRODUCT(((G21+$C$5)&gt;Parametros!$B$62:$B$63)*((G21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21" s="43">
        <f>H21+I21</f>
        <v/>
      </c>
      <c r="K21" s="28">
        <f>F21-J21</f>
        <v/>
      </c>
      <c r="L21" s="37">
        <f>IF(AND(K21&gt;=0,K20&lt;0),A21,0)</f>
        <v/>
      </c>
    </row>
    <row r="22">
      <c r="A22" s="42" t="n">
        <v>0.75</v>
      </c>
      <c r="B22" s="28">
        <f>$C$4*A22</f>
        <v/>
      </c>
      <c r="C22" s="28">
        <f>$C$4*Parametros!$C$19+MAX(0,$C$4*Parametros!$C$20-(Parametros!$C$21+B22))-MAX(0,D22-$C$4*Parametros!$C$22)</f>
        <v/>
      </c>
      <c r="D22" s="28">
        <f>MAX(MIN($C$4*Parametros!$C$7,Parametros!$C$6*Parametros!$C$9*12)*Parametros!$C$8,Parametros!$C$10*12)</f>
        <v/>
      </c>
      <c r="E22" s="28">
        <f>IF(Inputs!$D$38=1,2*(SUMPRODUCT((((C22+$C$5)/2)&gt;Parametros!$B$50:$B$58)*(((C22+$C$5)/2)-Parametros!$B$50:$B$58)*Parametros!$E$50:$E$58)+SUMPRODUCT((((C22+$C$5)/2)&gt;Parametros!$B$62:$B$63)*(((C22+$C$5)/2)-Parametros!$B$62:$B$63)*Parametros!$E$62:$E$63)),SUMPRODUCT(((C22+$C$5)&gt;Parametros!$B$50:$B$58)*((C22+$C$5)-Parametros!$B$50:$B$58)*Parametros!$E$50:$E$58)+SUMPRODUCT(((C22+$C$5)&gt;Parametros!$B$62:$B$63)*((C22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22" s="43">
        <f>D22+E22</f>
        <v/>
      </c>
      <c r="G22" s="28">
        <f>MAX(0,$C$4-B22-H22)</f>
        <v/>
      </c>
      <c r="H22" s="28">
        <f>MAX(MIN(MAX($C$4-B22,0),Parametros!$C$6*Parametros!$C$9*12)*Parametros!$C$8,Parametros!$C$10*12)</f>
        <v/>
      </c>
      <c r="I22" s="28">
        <f>IF(Inputs!$D$38=1,2*(SUMPRODUCT((((G22+$C$5)/2)&gt;Parametros!$B$50:$B$58)*(((G22+$C$5)/2)-Parametros!$B$50:$B$58)*Parametros!$E$50:$E$58)+SUMPRODUCT((((G22+$C$5)/2)&gt;Parametros!$B$62:$B$63)*(((G22+$C$5)/2)-Parametros!$B$62:$B$63)*Parametros!$E$62:$E$63)),SUMPRODUCT(((G22+$C$5)&gt;Parametros!$B$50:$B$58)*((G22+$C$5)-Parametros!$B$50:$B$58)*Parametros!$E$50:$E$58)+SUMPRODUCT(((G22+$C$5)&gt;Parametros!$B$62:$B$63)*((G22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22" s="43">
        <f>H22+I22</f>
        <v/>
      </c>
      <c r="K22" s="28">
        <f>F22-J22</f>
        <v/>
      </c>
      <c r="L22" s="37">
        <f>IF(AND(K22&gt;=0,K21&lt;0),A22,0)</f>
        <v/>
      </c>
    </row>
    <row r="24">
      <c r="A24" s="22" t="inlineStr">
        <is>
          <t>Ponto de viragem — peso dos custos reais</t>
        </is>
      </c>
      <c r="C24" s="25">
        <f>MAX(L8:L22)</f>
        <v/>
      </c>
      <c r="E24" s="9" t="inlineStr">
        <is>
          <t>Acima deste peso de custos, a contabilidade organizada passa a entregar mais líquido. Resolução de 5 pontos percentuais — refinar por interpolação se o valor cair perto de um limite.</t>
        </is>
      </c>
    </row>
    <row r="25">
      <c r="A25" s="22" t="inlineStr">
        <is>
          <t>Ponto de viragem — em euros de custos anuais</t>
        </is>
      </c>
      <c r="C25" s="27">
        <f>C24*$C$4</f>
        <v/>
      </c>
    </row>
    <row r="27" ht="40" customHeight="1">
      <c r="A27" s="20"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mergeCells count="2">
    <mergeCell ref="A2:L2"/>
    <mergeCell ref="A27:L27"/>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R58"/>
  <sheetViews>
    <sheetView showGridLines="0" workbookViewId="0">
      <pane ySplit="4" topLeftCell="A5" activePane="bottomLeft" state="frozen"/>
      <selection pane="bottomLeft" activeCell="A1" sqref="A1"/>
    </sheetView>
  </sheetViews>
  <sheetFormatPr baseColWidth="8" defaultRowHeight="15"/>
  <cols>
    <col width="54" customWidth="1" min="1" max="1"/>
    <col width="13" customWidth="1" min="2" max="2"/>
    <col width="15" customWidth="1" min="3" max="3"/>
    <col width="15" customWidth="1" min="4" max="4"/>
    <col width="15" customWidth="1" min="5" max="5"/>
    <col width="52" customWidth="1" min="6" max="6"/>
  </cols>
  <sheetData>
    <row r="1">
      <c r="A1" s="1" t="inlineStr">
        <is>
          <t>M1 — Break-even operacional e rendimento-alvo</t>
        </is>
      </c>
    </row>
    <row r="2" ht="52" customHeight="1">
      <c r="A2" s="20" t="inlineStr">
        <is>
          <t>Três coisas diferentes que a mesma palavra designa. O break-even FISCAL, na folha PontoViragem, diz quando uma estrutura passa a ser melhor que outra. O break-even OPERACIONAL, aqui em cima, diz quando a clínica cobre os custos. O RENDIMENTO-ALVO, aqui em baixo, diz quanto é preciso faturar para a fundadora receber o que quer receber. Nunca misturar as três numa frase.</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Break-even operacional</t>
        </is>
      </c>
      <c r="B5" s="7" t="n"/>
      <c r="C5" s="7" t="n"/>
      <c r="D5" s="7" t="n"/>
      <c r="E5" s="7" t="n"/>
      <c r="F5" s="7" t="n"/>
    </row>
    <row r="6">
      <c r="A6" s="8" t="inlineStr">
        <is>
          <t>Receita da estrutura</t>
        </is>
      </c>
      <c r="B6" s="9" t="inlineStr">
        <is>
          <t>REC</t>
        </is>
      </c>
      <c r="C6" s="35">
        <f>Inputs!$C$42+Inputs!$C$43</f>
        <v/>
      </c>
      <c r="D6" s="35">
        <f>Inputs!$D$42+Inputs!$D$43</f>
        <v/>
      </c>
      <c r="E6" s="35">
        <f>Inputs!$E$42+Inputs!$E$43</f>
        <v/>
      </c>
      <c r="F6" s="17" t="inlineStr"/>
    </row>
    <row r="7">
      <c r="A7" s="8" t="inlineStr">
        <is>
          <t>Custos variáveis</t>
        </is>
      </c>
      <c r="B7" s="9" t="inlineStr">
        <is>
          <t>CV</t>
        </is>
      </c>
      <c r="C7" s="35">
        <f>Inputs!$C$24+Inputs!$C$44</f>
        <v/>
      </c>
      <c r="D7" s="35">
        <f>Inputs!$D$24+Inputs!$D$44</f>
        <v/>
      </c>
      <c r="E7" s="35">
        <f>Inputs!$E$24+Inputs!$E$44</f>
        <v/>
      </c>
      <c r="F7" s="17" t="inlineStr">
        <is>
          <t>Consumíveis e honorários dos colaboradores. Acompanham o volume.</t>
        </is>
      </c>
    </row>
    <row r="8">
      <c r="A8" s="22" t="inlineStr">
        <is>
          <t>Margem de contribuição</t>
        </is>
      </c>
      <c r="B8" s="9" t="inlineStr">
        <is>
          <t>MC</t>
        </is>
      </c>
      <c r="C8" s="27">
        <f>$C$6-$C$7</f>
        <v/>
      </c>
      <c r="D8" s="27">
        <f>$D$6-$D$7</f>
        <v/>
      </c>
      <c r="E8" s="27">
        <f>$E$6-$E$7</f>
        <v/>
      </c>
      <c r="F8" s="17" t="inlineStr"/>
    </row>
    <row r="9">
      <c r="A9" s="22" t="inlineStr">
        <is>
          <t>Margem de contribuição (%)</t>
        </is>
      </c>
      <c r="B9" s="9" t="inlineStr">
        <is>
          <t>MCP</t>
        </is>
      </c>
      <c r="C9" s="25">
        <f>IF($C$6&lt;=0,0,$C$8/$C$6)</f>
        <v/>
      </c>
      <c r="D9" s="25">
        <f>IF($D$6&lt;=0,0,$D$8/$D$6)</f>
        <v/>
      </c>
      <c r="E9" s="25">
        <f>IF($E$6&lt;=0,0,$E$8/$E$6)</f>
        <v/>
      </c>
      <c r="F9" s="17" t="inlineStr">
        <is>
          <t>É o denominador do break-even. No modelo de prestação de serviços, a % de honorários esmaga esta linha — e é por isso que a ata avisa que faturação não é margem.</t>
        </is>
      </c>
    </row>
    <row r="10">
      <c r="A10" s="8" t="inlineStr">
        <is>
          <t>Custos fixos</t>
        </is>
      </c>
      <c r="B10" s="9" t="inlineStr">
        <is>
          <t>CF</t>
        </is>
      </c>
      <c r="C10" s="35">
        <f>Inputs!$C$19+Inputs!$C$20+Inputs!$C$21+Inputs!$C$22+Inputs!$C$25</f>
        <v/>
      </c>
      <c r="D10" s="35">
        <f>Inputs!$D$19+Inputs!$D$20+Inputs!$D$21+Inputs!$D$22+Inputs!$D$25</f>
        <v/>
      </c>
      <c r="E10" s="35">
        <f>Inputs!$E$19+Inputs!$E$20+Inputs!$E$21+Inputs!$E$22+Inputs!$E$25</f>
        <v/>
      </c>
      <c r="F10" s="17" t="inlineStr">
        <is>
          <t>Base de caixa: exclui amortizações, que não são saída de dinheiro.</t>
        </is>
      </c>
    </row>
    <row r="11">
      <c r="A11" s="22" t="inlineStr">
        <is>
          <t>BREAK-EVEN OPERACIONAL (faturação anual)</t>
        </is>
      </c>
      <c r="B11" s="9" t="inlineStr">
        <is>
          <t>BE</t>
        </is>
      </c>
      <c r="C11" s="27">
        <f>IF($C$9&lt;=0,0,$C$10/$C$9)</f>
        <v/>
      </c>
      <c r="D11" s="27">
        <f>IF($D$9&lt;=0,0,$D$10/$D$9)</f>
        <v/>
      </c>
      <c r="E11" s="27">
        <f>IF($E$9&lt;=0,0,$E$10/$E$9)</f>
        <v/>
      </c>
      <c r="F11" s="17" t="inlineStr"/>
    </row>
    <row r="12">
      <c r="A12" s="22" t="inlineStr">
        <is>
          <t>Break-even operacional (faturação mensal)</t>
        </is>
      </c>
      <c r="B12" s="9" t="inlineStr">
        <is>
          <t>BE_MES</t>
        </is>
      </c>
      <c r="C12" s="27">
        <f>$C$11/12</f>
        <v/>
      </c>
      <c r="D12" s="27">
        <f>$D$11/12</f>
        <v/>
      </c>
      <c r="E12" s="27">
        <f>$E$11/12</f>
        <v/>
      </c>
      <c r="F12" s="17" t="inlineStr">
        <is>
          <t>É este o número para dizer à cliente. Ninguém pensa em faturação anual.</t>
        </is>
      </c>
    </row>
    <row r="13">
      <c r="A13" s="22" t="inlineStr">
        <is>
          <t>Margem de segurança sobre a receita projetada</t>
        </is>
      </c>
      <c r="B13" s="9" t="inlineStr">
        <is>
          <t>MARG_SEG</t>
        </is>
      </c>
      <c r="C13" s="25">
        <f>IF($C$6&lt;=0,0,($C$6-$C$11)/$C$6)</f>
        <v/>
      </c>
      <c r="D13" s="25">
        <f>IF($D$6&lt;=0,0,($D$6-$D$11)/$D$6)</f>
        <v/>
      </c>
      <c r="E13" s="25">
        <f>IF($E$6&lt;=0,0,($E$6-$E$11)/$E$6)</f>
        <v/>
      </c>
      <c r="F13" s="17" t="inlineStr">
        <is>
          <t>Negativa significa que a projeção não cobre os custos fixos.</t>
        </is>
      </c>
    </row>
    <row r="14">
      <c r="A14" s="8" t="inlineStr">
        <is>
          <t>Preço médio por consulta</t>
        </is>
      </c>
      <c r="B14" s="9" t="inlineStr">
        <is>
          <t>PRECO_M</t>
        </is>
      </c>
      <c r="C14" s="44">
        <f>IF(Operacao!$C$25&lt;=0,0,Operacao!$C$31/Operacao!$C$25)</f>
        <v/>
      </c>
      <c r="D14" s="44">
        <f>IF(Operacao!$D$25&lt;=0,0,Operacao!$D$31/Operacao!$D$25)</f>
        <v/>
      </c>
      <c r="E14" s="44">
        <f>IF(Operacao!$E$25&lt;=0,0,Operacao!$E$31/Operacao!$E$25)</f>
        <v/>
      </c>
      <c r="F14" s="17" t="inlineStr"/>
    </row>
    <row r="15">
      <c r="A15" s="8" t="inlineStr">
        <is>
          <t>Consultas anuais necessárias para o break-even</t>
        </is>
      </c>
      <c r="B15" s="9" t="inlineStr">
        <is>
          <t>CONS_BE</t>
        </is>
      </c>
      <c r="C15" s="24">
        <f>IF($C$14&lt;=0,0,$C$11/$C$14)</f>
        <v/>
      </c>
      <c r="D15" s="24">
        <f>IF($D$14&lt;=0,0,$D$11/$D$14)</f>
        <v/>
      </c>
      <c r="E15" s="24">
        <f>IF($E$14&lt;=0,0,$E$11/$E$14)</f>
        <v/>
      </c>
      <c r="F15" s="17" t="inlineStr"/>
    </row>
    <row r="16">
      <c r="A16" s="22" t="inlineStr">
        <is>
          <t>UTILIZAÇÃO DOS GABINETES NECESSÁRIA PARA O BREAK-EVEN</t>
        </is>
      </c>
      <c r="B16" s="9" t="inlineStr">
        <is>
          <t>UTIL_BE</t>
        </is>
      </c>
      <c r="C16" s="25">
        <f>IF(Operacao!$C$21&lt;=0,0,$C$15/Operacao!$C$21)</f>
        <v/>
      </c>
      <c r="D16" s="25">
        <f>IF(Operacao!$D$21&lt;=0,0,$D$15/Operacao!$D$21)</f>
        <v/>
      </c>
      <c r="E16" s="25">
        <f>IF(Operacao!$E$21&lt;=0,0,$E$15/Operacao!$E$21)</f>
        <v/>
      </c>
      <c r="F16" s="17" t="inlineStr">
        <is>
          <t>Acima de 100% significa que o espaço escolhido não permite cobrir os seus próprios custos fixos, seja qual for a estrutura fiscal. É a verificação de plausibilidade empresarial.</t>
        </is>
      </c>
    </row>
    <row r="18">
      <c r="A18" s="2" t="inlineStr">
        <is>
          <t>Rendimento-alvo da fundadora</t>
        </is>
      </c>
      <c r="B18" s="7" t="n"/>
      <c r="C18" s="7" t="n"/>
      <c r="D18" s="7" t="n"/>
      <c r="E18" s="7" t="n"/>
      <c r="F18" s="7" t="n"/>
    </row>
    <row r="19">
      <c r="A19" s="22" t="inlineStr">
        <is>
          <t>Rendimento anual líquido pretendido pela fundadora</t>
        </is>
      </c>
      <c r="C19" s="16" t="n">
        <v>30000</v>
      </c>
      <c r="F19" s="9" t="inlineStr">
        <is>
          <t>Ação 0.8 do P1. É o input que a cliente não sabe que tem de dar, e é o que decide entre a via 3 e a via 4.</t>
        </is>
      </c>
    </row>
    <row r="21">
      <c r="A21" s="5" t="inlineStr">
        <is>
          <t>Faturação necessária para atingir o rendimento-alvo, por estrutura. Custos fixos e peso dos custos variáveis fixados no cenário Base. Resolução de 10.000 €.</t>
        </is>
      </c>
    </row>
    <row r="22" ht="28" customHeight="1">
      <c r="A22" s="6" t="inlineStr">
        <is>
          <t>Faturação</t>
        </is>
      </c>
      <c r="B22" s="6" t="inlineStr">
        <is>
          <t>Custos</t>
        </is>
      </c>
      <c r="C22" s="6" t="inlineStr">
        <is>
          <t>Caixa</t>
        </is>
      </c>
      <c r="D22" s="6" t="inlineStr">
        <is>
          <t>Rend. cat. B (v1)</t>
        </is>
      </c>
      <c r="E22" s="6" t="inlineStr">
        <is>
          <t>SS v1</t>
        </is>
      </c>
      <c r="F22" s="6" t="inlineStr">
        <is>
          <t>IRS v1</t>
        </is>
      </c>
      <c r="G22" s="6" t="inlineStr">
        <is>
          <t>LÍQUIDO v1</t>
        </is>
      </c>
      <c r="H22" s="6" t="inlineStr">
        <is>
          <t>Lucro trib. (v2)</t>
        </is>
      </c>
      <c r="I22" s="6" t="inlineStr">
        <is>
          <t>SS v2</t>
        </is>
      </c>
      <c r="J22" s="6" t="inlineStr">
        <is>
          <t>IRS v2</t>
        </is>
      </c>
      <c r="K22" s="6" t="inlineStr">
        <is>
          <t>LÍQUIDO v2</t>
        </is>
      </c>
      <c r="L22" s="6" t="inlineStr">
        <is>
          <t>Lucro trib. (v3)</t>
        </is>
      </c>
      <c r="M22" s="6" t="inlineStr">
        <is>
          <t>Rend. sócia (v3)</t>
        </is>
      </c>
      <c r="N22" s="6" t="inlineStr">
        <is>
          <t>IRS v3</t>
        </is>
      </c>
      <c r="O22" s="6" t="inlineStr">
        <is>
          <t>LÍQUIDO v3</t>
        </is>
      </c>
      <c r="P22" s="6" t="inlineStr">
        <is>
          <t>Alvo v1</t>
        </is>
      </c>
      <c r="Q22" s="6" t="inlineStr">
        <is>
          <t>Alvo v2</t>
        </is>
      </c>
      <c r="R22" s="6" t="inlineStr">
        <is>
          <t>Alvo v3</t>
        </is>
      </c>
    </row>
    <row r="23">
      <c r="A23" s="45" t="n">
        <v>40000</v>
      </c>
      <c r="B23" s="28">
        <f>($D$10)+A23*(1-$D$9)</f>
        <v/>
      </c>
      <c r="C23" s="28">
        <f>A23-B23</f>
        <v/>
      </c>
      <c r="D23" s="28">
        <f>A23*Parametros!$C$19+MAX(0,A23*Parametros!$C$20-B23)-MAX(0,E23-A23*Parametros!$C$22)</f>
        <v/>
      </c>
      <c r="E23" s="28">
        <f>MAX(MIN(A23*Parametros!$C$7,Parametros!$C$6*Parametros!$C$9*12)*Parametros!$C$8,Parametros!$C$10*12)</f>
        <v/>
      </c>
      <c r="F23" s="28">
        <f>IF(Inputs!$D$38=1,2*(SUMPRODUCT((((D23+Inputs!$D$37)/2)&gt;Parametros!$B$50:$B$58)*(((D23+Inputs!$D$37)/2)-Parametros!$B$50:$B$58)*Parametros!$E$50:$E$58)+SUMPRODUCT((((D23+Inputs!$D$37)/2)&gt;Parametros!$B$62:$B$63)*(((D23+Inputs!$D$37)/2)-Parametros!$B$62:$B$63)*Parametros!$E$62:$E$63)),SUMPRODUCT(((D23+Inputs!$D$37)&gt;Parametros!$B$50:$B$58)*((D23+Inputs!$D$37)-Parametros!$B$50:$B$58)*Parametros!$E$50:$E$58)+SUMPRODUCT(((D23+Inputs!$D$37)&gt;Parametros!$B$62:$B$63)*((D23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3" s="43">
        <f>C23-E23-F23</f>
        <v/>
      </c>
      <c r="H23" s="28">
        <f>MAX(0,A23-B23-(Inputs!$D$27*Parametros!$C$39+(Inputs!$D$28+Inputs!$D$29)*Parametros!$C$40+Inputs!$D$30*Parametros!$C$41)-I23)</f>
        <v/>
      </c>
      <c r="I23" s="28">
        <f>MAX(MIN(MAX(A23-B23-(Inputs!$D$27*Parametros!$C$39+(Inputs!$D$28+Inputs!$D$29)*Parametros!$C$40+Inputs!$D$30*Parametros!$C$41),0),Parametros!$C$6*Parametros!$C$9*12)*Parametros!$C$8,Parametros!$C$10*12)</f>
        <v/>
      </c>
      <c r="J23" s="28">
        <f>IF(Inputs!$D$38=1,2*(SUMPRODUCT((((H23+Inputs!$D$37)/2)&gt;Parametros!$B$50:$B$58)*(((H23+Inputs!$D$37)/2)-Parametros!$B$50:$B$58)*Parametros!$E$50:$E$58)+SUMPRODUCT((((H23+Inputs!$D$37)/2)&gt;Parametros!$B$62:$B$63)*(((H23+Inputs!$D$37)/2)-Parametros!$B$62:$B$63)*Parametros!$E$62:$E$63)),SUMPRODUCT(((H23+Inputs!$D$37)&gt;Parametros!$B$50:$B$58)*((H23+Inputs!$D$37)-Parametros!$B$50:$B$58)*Parametros!$E$50:$E$58)+SUMPRODUCT(((H23+Inputs!$D$37)&gt;Parametros!$B$62:$B$63)*((H23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3" s="43">
        <f>C23-I23-J23</f>
        <v/>
      </c>
      <c r="L23" s="28">
        <f>A23-B23-(Inputs!$D$27*Parametros!$C$39+(Inputs!$D$28+Inputs!$D$29)*Parametros!$C$40+Inputs!$D$30*Parametros!$C$41)-(Inputs!$D$32)-((MAX(Inputs!$D$32,Parametros!$C$6*Parametros!$C$13*12))*Parametros!$C$11)</f>
        <v/>
      </c>
      <c r="M23" s="28">
        <f>MAX(0,(Inputs!$D$32)-MIN((Inputs!$D$32),MAX(Parametros!$C$25,(MAX(Inputs!$D$32,Parametros!$C$6*Parametros!$C$13*12))*Parametros!$C$12)))+MAX(L23,0)</f>
        <v/>
      </c>
      <c r="N23" s="28">
        <f>IF(Inputs!$D$38=1,2*(SUMPRODUCT((((M23+Inputs!$D$37)/2)&gt;Parametros!$B$50:$B$58)*(((M23+Inputs!$D$37)/2)-Parametros!$B$50:$B$58)*Parametros!$E$50:$E$58)+SUMPRODUCT((((M23+Inputs!$D$37)/2)&gt;Parametros!$B$62:$B$63)*(((M23+Inputs!$D$37)/2)-Parametros!$B$62:$B$63)*Parametros!$E$62:$E$63)),SUMPRODUCT(((M23+Inputs!$D$37)&gt;Parametros!$B$50:$B$58)*((M23+Inputs!$D$37)-Parametros!$B$50:$B$58)*Parametros!$E$50:$E$58)+SUMPRODUCT(((M23+Inputs!$D$37)&gt;Parametros!$B$62:$B$63)*((M23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3" s="43">
        <f>C23-((MAX(Inputs!$D$32,Parametros!$C$6*Parametros!$C$13*12))*Parametros!$C$12)-((MAX(Inputs!$D$32,Parametros!$C$6*Parametros!$C$13*12))*Parametros!$C$11)-(Inputs!$D$33)-N23</f>
        <v/>
      </c>
      <c r="P23" s="28">
        <f>0</f>
        <v/>
      </c>
      <c r="Q23" s="28">
        <f>0</f>
        <v/>
      </c>
      <c r="R23" s="28">
        <f>0</f>
        <v/>
      </c>
    </row>
    <row r="24">
      <c r="A24" s="45" t="n">
        <v>50000</v>
      </c>
      <c r="B24" s="28">
        <f>($D$10)+A24*(1-$D$9)</f>
        <v/>
      </c>
      <c r="C24" s="28">
        <f>A24-B24</f>
        <v/>
      </c>
      <c r="D24" s="28">
        <f>A24*Parametros!$C$19+MAX(0,A24*Parametros!$C$20-B24)-MAX(0,E24-A24*Parametros!$C$22)</f>
        <v/>
      </c>
      <c r="E24" s="28">
        <f>MAX(MIN(A24*Parametros!$C$7,Parametros!$C$6*Parametros!$C$9*12)*Parametros!$C$8,Parametros!$C$10*12)</f>
        <v/>
      </c>
      <c r="F24" s="28">
        <f>IF(Inputs!$D$38=1,2*(SUMPRODUCT((((D24+Inputs!$D$37)/2)&gt;Parametros!$B$50:$B$58)*(((D24+Inputs!$D$37)/2)-Parametros!$B$50:$B$58)*Parametros!$E$50:$E$58)+SUMPRODUCT((((D24+Inputs!$D$37)/2)&gt;Parametros!$B$62:$B$63)*(((D24+Inputs!$D$37)/2)-Parametros!$B$62:$B$63)*Parametros!$E$62:$E$63)),SUMPRODUCT(((D24+Inputs!$D$37)&gt;Parametros!$B$50:$B$58)*((D24+Inputs!$D$37)-Parametros!$B$50:$B$58)*Parametros!$E$50:$E$58)+SUMPRODUCT(((D24+Inputs!$D$37)&gt;Parametros!$B$62:$B$63)*((D24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4" s="43">
        <f>C24-E24-F24</f>
        <v/>
      </c>
      <c r="H24" s="28">
        <f>MAX(0,A24-B24-(Inputs!$D$27*Parametros!$C$39+(Inputs!$D$28+Inputs!$D$29)*Parametros!$C$40+Inputs!$D$30*Parametros!$C$41)-I24)</f>
        <v/>
      </c>
      <c r="I24" s="28">
        <f>MAX(MIN(MAX(A24-B24-(Inputs!$D$27*Parametros!$C$39+(Inputs!$D$28+Inputs!$D$29)*Parametros!$C$40+Inputs!$D$30*Parametros!$C$41),0),Parametros!$C$6*Parametros!$C$9*12)*Parametros!$C$8,Parametros!$C$10*12)</f>
        <v/>
      </c>
      <c r="J24" s="28">
        <f>IF(Inputs!$D$38=1,2*(SUMPRODUCT((((H24+Inputs!$D$37)/2)&gt;Parametros!$B$50:$B$58)*(((H24+Inputs!$D$37)/2)-Parametros!$B$50:$B$58)*Parametros!$E$50:$E$58)+SUMPRODUCT((((H24+Inputs!$D$37)/2)&gt;Parametros!$B$62:$B$63)*(((H24+Inputs!$D$37)/2)-Parametros!$B$62:$B$63)*Parametros!$E$62:$E$63)),SUMPRODUCT(((H24+Inputs!$D$37)&gt;Parametros!$B$50:$B$58)*((H24+Inputs!$D$37)-Parametros!$B$50:$B$58)*Parametros!$E$50:$E$58)+SUMPRODUCT(((H24+Inputs!$D$37)&gt;Parametros!$B$62:$B$63)*((H24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4" s="43">
        <f>C24-I24-J24</f>
        <v/>
      </c>
      <c r="L24" s="28">
        <f>A24-B24-(Inputs!$D$27*Parametros!$C$39+(Inputs!$D$28+Inputs!$D$29)*Parametros!$C$40+Inputs!$D$30*Parametros!$C$41)-(Inputs!$D$32)-((MAX(Inputs!$D$32,Parametros!$C$6*Parametros!$C$13*12))*Parametros!$C$11)</f>
        <v/>
      </c>
      <c r="M24" s="28">
        <f>MAX(0,(Inputs!$D$32)-MIN((Inputs!$D$32),MAX(Parametros!$C$25,(MAX(Inputs!$D$32,Parametros!$C$6*Parametros!$C$13*12))*Parametros!$C$12)))+MAX(L24,0)</f>
        <v/>
      </c>
      <c r="N24" s="28">
        <f>IF(Inputs!$D$38=1,2*(SUMPRODUCT((((M24+Inputs!$D$37)/2)&gt;Parametros!$B$50:$B$58)*(((M24+Inputs!$D$37)/2)-Parametros!$B$50:$B$58)*Parametros!$E$50:$E$58)+SUMPRODUCT((((M24+Inputs!$D$37)/2)&gt;Parametros!$B$62:$B$63)*(((M24+Inputs!$D$37)/2)-Parametros!$B$62:$B$63)*Parametros!$E$62:$E$63)),SUMPRODUCT(((M24+Inputs!$D$37)&gt;Parametros!$B$50:$B$58)*((M24+Inputs!$D$37)-Parametros!$B$50:$B$58)*Parametros!$E$50:$E$58)+SUMPRODUCT(((M24+Inputs!$D$37)&gt;Parametros!$B$62:$B$63)*((M24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4" s="43">
        <f>C24-((MAX(Inputs!$D$32,Parametros!$C$6*Parametros!$C$13*12))*Parametros!$C$12)-((MAX(Inputs!$D$32,Parametros!$C$6*Parametros!$C$13*12))*Parametros!$C$11)-(Inputs!$D$33)-N24</f>
        <v/>
      </c>
      <c r="P24" s="28">
        <f>IF(AND(G24&gt;=$C$19,G23&lt;$C$19),A24,0)</f>
        <v/>
      </c>
      <c r="Q24" s="28">
        <f>IF(AND(K24&gt;=$C$19,K23&lt;$C$19),A24,0)</f>
        <v/>
      </c>
      <c r="R24" s="28">
        <f>IF(AND(O24&gt;=$C$19,O23&lt;$C$19),A24,0)</f>
        <v/>
      </c>
    </row>
    <row r="25">
      <c r="A25" s="45" t="n">
        <v>60000</v>
      </c>
      <c r="B25" s="28">
        <f>($D$10)+A25*(1-$D$9)</f>
        <v/>
      </c>
      <c r="C25" s="28">
        <f>A25-B25</f>
        <v/>
      </c>
      <c r="D25" s="28">
        <f>A25*Parametros!$C$19+MAX(0,A25*Parametros!$C$20-B25)-MAX(0,E25-A25*Parametros!$C$22)</f>
        <v/>
      </c>
      <c r="E25" s="28">
        <f>MAX(MIN(A25*Parametros!$C$7,Parametros!$C$6*Parametros!$C$9*12)*Parametros!$C$8,Parametros!$C$10*12)</f>
        <v/>
      </c>
      <c r="F25" s="28">
        <f>IF(Inputs!$D$38=1,2*(SUMPRODUCT((((D25+Inputs!$D$37)/2)&gt;Parametros!$B$50:$B$58)*(((D25+Inputs!$D$37)/2)-Parametros!$B$50:$B$58)*Parametros!$E$50:$E$58)+SUMPRODUCT((((D25+Inputs!$D$37)/2)&gt;Parametros!$B$62:$B$63)*(((D25+Inputs!$D$37)/2)-Parametros!$B$62:$B$63)*Parametros!$E$62:$E$63)),SUMPRODUCT(((D25+Inputs!$D$37)&gt;Parametros!$B$50:$B$58)*((D25+Inputs!$D$37)-Parametros!$B$50:$B$58)*Parametros!$E$50:$E$58)+SUMPRODUCT(((D25+Inputs!$D$37)&gt;Parametros!$B$62:$B$63)*((D25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5" s="43">
        <f>C25-E25-F25</f>
        <v/>
      </c>
      <c r="H25" s="28">
        <f>MAX(0,A25-B25-(Inputs!$D$27*Parametros!$C$39+(Inputs!$D$28+Inputs!$D$29)*Parametros!$C$40+Inputs!$D$30*Parametros!$C$41)-I25)</f>
        <v/>
      </c>
      <c r="I25" s="28">
        <f>MAX(MIN(MAX(A25-B25-(Inputs!$D$27*Parametros!$C$39+(Inputs!$D$28+Inputs!$D$29)*Parametros!$C$40+Inputs!$D$30*Parametros!$C$41),0),Parametros!$C$6*Parametros!$C$9*12)*Parametros!$C$8,Parametros!$C$10*12)</f>
        <v/>
      </c>
      <c r="J25" s="28">
        <f>IF(Inputs!$D$38=1,2*(SUMPRODUCT((((H25+Inputs!$D$37)/2)&gt;Parametros!$B$50:$B$58)*(((H25+Inputs!$D$37)/2)-Parametros!$B$50:$B$58)*Parametros!$E$50:$E$58)+SUMPRODUCT((((H25+Inputs!$D$37)/2)&gt;Parametros!$B$62:$B$63)*(((H25+Inputs!$D$37)/2)-Parametros!$B$62:$B$63)*Parametros!$E$62:$E$63)),SUMPRODUCT(((H25+Inputs!$D$37)&gt;Parametros!$B$50:$B$58)*((H25+Inputs!$D$37)-Parametros!$B$50:$B$58)*Parametros!$E$50:$E$58)+SUMPRODUCT(((H25+Inputs!$D$37)&gt;Parametros!$B$62:$B$63)*((H25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5" s="43">
        <f>C25-I25-J25</f>
        <v/>
      </c>
      <c r="L25" s="28">
        <f>A25-B25-(Inputs!$D$27*Parametros!$C$39+(Inputs!$D$28+Inputs!$D$29)*Parametros!$C$40+Inputs!$D$30*Parametros!$C$41)-(Inputs!$D$32)-((MAX(Inputs!$D$32,Parametros!$C$6*Parametros!$C$13*12))*Parametros!$C$11)</f>
        <v/>
      </c>
      <c r="M25" s="28">
        <f>MAX(0,(Inputs!$D$32)-MIN((Inputs!$D$32),MAX(Parametros!$C$25,(MAX(Inputs!$D$32,Parametros!$C$6*Parametros!$C$13*12))*Parametros!$C$12)))+MAX(L25,0)</f>
        <v/>
      </c>
      <c r="N25" s="28">
        <f>IF(Inputs!$D$38=1,2*(SUMPRODUCT((((M25+Inputs!$D$37)/2)&gt;Parametros!$B$50:$B$58)*(((M25+Inputs!$D$37)/2)-Parametros!$B$50:$B$58)*Parametros!$E$50:$E$58)+SUMPRODUCT((((M25+Inputs!$D$37)/2)&gt;Parametros!$B$62:$B$63)*(((M25+Inputs!$D$37)/2)-Parametros!$B$62:$B$63)*Parametros!$E$62:$E$63)),SUMPRODUCT(((M25+Inputs!$D$37)&gt;Parametros!$B$50:$B$58)*((M25+Inputs!$D$37)-Parametros!$B$50:$B$58)*Parametros!$E$50:$E$58)+SUMPRODUCT(((M25+Inputs!$D$37)&gt;Parametros!$B$62:$B$63)*((M25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5" s="43">
        <f>C25-((MAX(Inputs!$D$32,Parametros!$C$6*Parametros!$C$13*12))*Parametros!$C$12)-((MAX(Inputs!$D$32,Parametros!$C$6*Parametros!$C$13*12))*Parametros!$C$11)-(Inputs!$D$33)-N25</f>
        <v/>
      </c>
      <c r="P25" s="28">
        <f>IF(AND(G25&gt;=$C$19,G24&lt;$C$19),A25,0)</f>
        <v/>
      </c>
      <c r="Q25" s="28">
        <f>IF(AND(K25&gt;=$C$19,K24&lt;$C$19),A25,0)</f>
        <v/>
      </c>
      <c r="R25" s="28">
        <f>IF(AND(O25&gt;=$C$19,O24&lt;$C$19),A25,0)</f>
        <v/>
      </c>
    </row>
    <row r="26">
      <c r="A26" s="45" t="n">
        <v>70000</v>
      </c>
      <c r="B26" s="28">
        <f>($D$10)+A26*(1-$D$9)</f>
        <v/>
      </c>
      <c r="C26" s="28">
        <f>A26-B26</f>
        <v/>
      </c>
      <c r="D26" s="28">
        <f>A26*Parametros!$C$19+MAX(0,A26*Parametros!$C$20-B26)-MAX(0,E26-A26*Parametros!$C$22)</f>
        <v/>
      </c>
      <c r="E26" s="28">
        <f>MAX(MIN(A26*Parametros!$C$7,Parametros!$C$6*Parametros!$C$9*12)*Parametros!$C$8,Parametros!$C$10*12)</f>
        <v/>
      </c>
      <c r="F26" s="28">
        <f>IF(Inputs!$D$38=1,2*(SUMPRODUCT((((D26+Inputs!$D$37)/2)&gt;Parametros!$B$50:$B$58)*(((D26+Inputs!$D$37)/2)-Parametros!$B$50:$B$58)*Parametros!$E$50:$E$58)+SUMPRODUCT((((D26+Inputs!$D$37)/2)&gt;Parametros!$B$62:$B$63)*(((D26+Inputs!$D$37)/2)-Parametros!$B$62:$B$63)*Parametros!$E$62:$E$63)),SUMPRODUCT(((D26+Inputs!$D$37)&gt;Parametros!$B$50:$B$58)*((D26+Inputs!$D$37)-Parametros!$B$50:$B$58)*Parametros!$E$50:$E$58)+SUMPRODUCT(((D26+Inputs!$D$37)&gt;Parametros!$B$62:$B$63)*((D26+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6" s="43">
        <f>C26-E26-F26</f>
        <v/>
      </c>
      <c r="H26" s="28">
        <f>MAX(0,A26-B26-(Inputs!$D$27*Parametros!$C$39+(Inputs!$D$28+Inputs!$D$29)*Parametros!$C$40+Inputs!$D$30*Parametros!$C$41)-I26)</f>
        <v/>
      </c>
      <c r="I26" s="28">
        <f>MAX(MIN(MAX(A26-B26-(Inputs!$D$27*Parametros!$C$39+(Inputs!$D$28+Inputs!$D$29)*Parametros!$C$40+Inputs!$D$30*Parametros!$C$41),0),Parametros!$C$6*Parametros!$C$9*12)*Parametros!$C$8,Parametros!$C$10*12)</f>
        <v/>
      </c>
      <c r="J26" s="28">
        <f>IF(Inputs!$D$38=1,2*(SUMPRODUCT((((H26+Inputs!$D$37)/2)&gt;Parametros!$B$50:$B$58)*(((H26+Inputs!$D$37)/2)-Parametros!$B$50:$B$58)*Parametros!$E$50:$E$58)+SUMPRODUCT((((H26+Inputs!$D$37)/2)&gt;Parametros!$B$62:$B$63)*(((H26+Inputs!$D$37)/2)-Parametros!$B$62:$B$63)*Parametros!$E$62:$E$63)),SUMPRODUCT(((H26+Inputs!$D$37)&gt;Parametros!$B$50:$B$58)*((H26+Inputs!$D$37)-Parametros!$B$50:$B$58)*Parametros!$E$50:$E$58)+SUMPRODUCT(((H26+Inputs!$D$37)&gt;Parametros!$B$62:$B$63)*((H26+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6" s="43">
        <f>C26-I26-J26</f>
        <v/>
      </c>
      <c r="L26" s="28">
        <f>A26-B26-(Inputs!$D$27*Parametros!$C$39+(Inputs!$D$28+Inputs!$D$29)*Parametros!$C$40+Inputs!$D$30*Parametros!$C$41)-(Inputs!$D$32)-((MAX(Inputs!$D$32,Parametros!$C$6*Parametros!$C$13*12))*Parametros!$C$11)</f>
        <v/>
      </c>
      <c r="M26" s="28">
        <f>MAX(0,(Inputs!$D$32)-MIN((Inputs!$D$32),MAX(Parametros!$C$25,(MAX(Inputs!$D$32,Parametros!$C$6*Parametros!$C$13*12))*Parametros!$C$12)))+MAX(L26,0)</f>
        <v/>
      </c>
      <c r="N26" s="28">
        <f>IF(Inputs!$D$38=1,2*(SUMPRODUCT((((M26+Inputs!$D$37)/2)&gt;Parametros!$B$50:$B$58)*(((M26+Inputs!$D$37)/2)-Parametros!$B$50:$B$58)*Parametros!$E$50:$E$58)+SUMPRODUCT((((M26+Inputs!$D$37)/2)&gt;Parametros!$B$62:$B$63)*(((M26+Inputs!$D$37)/2)-Parametros!$B$62:$B$63)*Parametros!$E$62:$E$63)),SUMPRODUCT(((M26+Inputs!$D$37)&gt;Parametros!$B$50:$B$58)*((M26+Inputs!$D$37)-Parametros!$B$50:$B$58)*Parametros!$E$50:$E$58)+SUMPRODUCT(((M26+Inputs!$D$37)&gt;Parametros!$B$62:$B$63)*((M26+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6" s="43">
        <f>C26-((MAX(Inputs!$D$32,Parametros!$C$6*Parametros!$C$13*12))*Parametros!$C$12)-((MAX(Inputs!$D$32,Parametros!$C$6*Parametros!$C$13*12))*Parametros!$C$11)-(Inputs!$D$33)-N26</f>
        <v/>
      </c>
      <c r="P26" s="28">
        <f>IF(AND(G26&gt;=$C$19,G25&lt;$C$19),A26,0)</f>
        <v/>
      </c>
      <c r="Q26" s="28">
        <f>IF(AND(K26&gt;=$C$19,K25&lt;$C$19),A26,0)</f>
        <v/>
      </c>
      <c r="R26" s="28">
        <f>IF(AND(O26&gt;=$C$19,O25&lt;$C$19),A26,0)</f>
        <v/>
      </c>
    </row>
    <row r="27">
      <c r="A27" s="45" t="n">
        <v>80000</v>
      </c>
      <c r="B27" s="28">
        <f>($D$10)+A27*(1-$D$9)</f>
        <v/>
      </c>
      <c r="C27" s="28">
        <f>A27-B27</f>
        <v/>
      </c>
      <c r="D27" s="28">
        <f>A27*Parametros!$C$19+MAX(0,A27*Parametros!$C$20-B27)-MAX(0,E27-A27*Parametros!$C$22)</f>
        <v/>
      </c>
      <c r="E27" s="28">
        <f>MAX(MIN(A27*Parametros!$C$7,Parametros!$C$6*Parametros!$C$9*12)*Parametros!$C$8,Parametros!$C$10*12)</f>
        <v/>
      </c>
      <c r="F27" s="28">
        <f>IF(Inputs!$D$38=1,2*(SUMPRODUCT((((D27+Inputs!$D$37)/2)&gt;Parametros!$B$50:$B$58)*(((D27+Inputs!$D$37)/2)-Parametros!$B$50:$B$58)*Parametros!$E$50:$E$58)+SUMPRODUCT((((D27+Inputs!$D$37)/2)&gt;Parametros!$B$62:$B$63)*(((D27+Inputs!$D$37)/2)-Parametros!$B$62:$B$63)*Parametros!$E$62:$E$63)),SUMPRODUCT(((D27+Inputs!$D$37)&gt;Parametros!$B$50:$B$58)*((D27+Inputs!$D$37)-Parametros!$B$50:$B$58)*Parametros!$E$50:$E$58)+SUMPRODUCT(((D27+Inputs!$D$37)&gt;Parametros!$B$62:$B$63)*((D27+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7" s="43">
        <f>C27-E27-F27</f>
        <v/>
      </c>
      <c r="H27" s="28">
        <f>MAX(0,A27-B27-(Inputs!$D$27*Parametros!$C$39+(Inputs!$D$28+Inputs!$D$29)*Parametros!$C$40+Inputs!$D$30*Parametros!$C$41)-I27)</f>
        <v/>
      </c>
      <c r="I27" s="28">
        <f>MAX(MIN(MAX(A27-B27-(Inputs!$D$27*Parametros!$C$39+(Inputs!$D$28+Inputs!$D$29)*Parametros!$C$40+Inputs!$D$30*Parametros!$C$41),0),Parametros!$C$6*Parametros!$C$9*12)*Parametros!$C$8,Parametros!$C$10*12)</f>
        <v/>
      </c>
      <c r="J27" s="28">
        <f>IF(Inputs!$D$38=1,2*(SUMPRODUCT((((H27+Inputs!$D$37)/2)&gt;Parametros!$B$50:$B$58)*(((H27+Inputs!$D$37)/2)-Parametros!$B$50:$B$58)*Parametros!$E$50:$E$58)+SUMPRODUCT((((H27+Inputs!$D$37)/2)&gt;Parametros!$B$62:$B$63)*(((H27+Inputs!$D$37)/2)-Parametros!$B$62:$B$63)*Parametros!$E$62:$E$63)),SUMPRODUCT(((H27+Inputs!$D$37)&gt;Parametros!$B$50:$B$58)*((H27+Inputs!$D$37)-Parametros!$B$50:$B$58)*Parametros!$E$50:$E$58)+SUMPRODUCT(((H27+Inputs!$D$37)&gt;Parametros!$B$62:$B$63)*((H27+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7" s="43">
        <f>C27-I27-J27</f>
        <v/>
      </c>
      <c r="L27" s="28">
        <f>A27-B27-(Inputs!$D$27*Parametros!$C$39+(Inputs!$D$28+Inputs!$D$29)*Parametros!$C$40+Inputs!$D$30*Parametros!$C$41)-(Inputs!$D$32)-((MAX(Inputs!$D$32,Parametros!$C$6*Parametros!$C$13*12))*Parametros!$C$11)</f>
        <v/>
      </c>
      <c r="M27" s="28">
        <f>MAX(0,(Inputs!$D$32)-MIN((Inputs!$D$32),MAX(Parametros!$C$25,(MAX(Inputs!$D$32,Parametros!$C$6*Parametros!$C$13*12))*Parametros!$C$12)))+MAX(L27,0)</f>
        <v/>
      </c>
      <c r="N27" s="28">
        <f>IF(Inputs!$D$38=1,2*(SUMPRODUCT((((M27+Inputs!$D$37)/2)&gt;Parametros!$B$50:$B$58)*(((M27+Inputs!$D$37)/2)-Parametros!$B$50:$B$58)*Parametros!$E$50:$E$58)+SUMPRODUCT((((M27+Inputs!$D$37)/2)&gt;Parametros!$B$62:$B$63)*(((M27+Inputs!$D$37)/2)-Parametros!$B$62:$B$63)*Parametros!$E$62:$E$63)),SUMPRODUCT(((M27+Inputs!$D$37)&gt;Parametros!$B$50:$B$58)*((M27+Inputs!$D$37)-Parametros!$B$50:$B$58)*Parametros!$E$50:$E$58)+SUMPRODUCT(((M27+Inputs!$D$37)&gt;Parametros!$B$62:$B$63)*((M27+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7" s="43">
        <f>C27-((MAX(Inputs!$D$32,Parametros!$C$6*Parametros!$C$13*12))*Parametros!$C$12)-((MAX(Inputs!$D$32,Parametros!$C$6*Parametros!$C$13*12))*Parametros!$C$11)-(Inputs!$D$33)-N27</f>
        <v/>
      </c>
      <c r="P27" s="28">
        <f>IF(AND(G27&gt;=$C$19,G26&lt;$C$19),A27,0)</f>
        <v/>
      </c>
      <c r="Q27" s="28">
        <f>IF(AND(K27&gt;=$C$19,K26&lt;$C$19),A27,0)</f>
        <v/>
      </c>
      <c r="R27" s="28">
        <f>IF(AND(O27&gt;=$C$19,O26&lt;$C$19),A27,0)</f>
        <v/>
      </c>
    </row>
    <row r="28">
      <c r="A28" s="45" t="n">
        <v>90000</v>
      </c>
      <c r="B28" s="28">
        <f>($D$10)+A28*(1-$D$9)</f>
        <v/>
      </c>
      <c r="C28" s="28">
        <f>A28-B28</f>
        <v/>
      </c>
      <c r="D28" s="28">
        <f>A28*Parametros!$C$19+MAX(0,A28*Parametros!$C$20-B28)-MAX(0,E28-A28*Parametros!$C$22)</f>
        <v/>
      </c>
      <c r="E28" s="28">
        <f>MAX(MIN(A28*Parametros!$C$7,Parametros!$C$6*Parametros!$C$9*12)*Parametros!$C$8,Parametros!$C$10*12)</f>
        <v/>
      </c>
      <c r="F28" s="28">
        <f>IF(Inputs!$D$38=1,2*(SUMPRODUCT((((D28+Inputs!$D$37)/2)&gt;Parametros!$B$50:$B$58)*(((D28+Inputs!$D$37)/2)-Parametros!$B$50:$B$58)*Parametros!$E$50:$E$58)+SUMPRODUCT((((D28+Inputs!$D$37)/2)&gt;Parametros!$B$62:$B$63)*(((D28+Inputs!$D$37)/2)-Parametros!$B$62:$B$63)*Parametros!$E$62:$E$63)),SUMPRODUCT(((D28+Inputs!$D$37)&gt;Parametros!$B$50:$B$58)*((D28+Inputs!$D$37)-Parametros!$B$50:$B$58)*Parametros!$E$50:$E$58)+SUMPRODUCT(((D28+Inputs!$D$37)&gt;Parametros!$B$62:$B$63)*((D28+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8" s="43">
        <f>C28-E28-F28</f>
        <v/>
      </c>
      <c r="H28" s="28">
        <f>MAX(0,A28-B28-(Inputs!$D$27*Parametros!$C$39+(Inputs!$D$28+Inputs!$D$29)*Parametros!$C$40+Inputs!$D$30*Parametros!$C$41)-I28)</f>
        <v/>
      </c>
      <c r="I28" s="28">
        <f>MAX(MIN(MAX(A28-B28-(Inputs!$D$27*Parametros!$C$39+(Inputs!$D$28+Inputs!$D$29)*Parametros!$C$40+Inputs!$D$30*Parametros!$C$41),0),Parametros!$C$6*Parametros!$C$9*12)*Parametros!$C$8,Parametros!$C$10*12)</f>
        <v/>
      </c>
      <c r="J28" s="28">
        <f>IF(Inputs!$D$38=1,2*(SUMPRODUCT((((H28+Inputs!$D$37)/2)&gt;Parametros!$B$50:$B$58)*(((H28+Inputs!$D$37)/2)-Parametros!$B$50:$B$58)*Parametros!$E$50:$E$58)+SUMPRODUCT((((H28+Inputs!$D$37)/2)&gt;Parametros!$B$62:$B$63)*(((H28+Inputs!$D$37)/2)-Parametros!$B$62:$B$63)*Parametros!$E$62:$E$63)),SUMPRODUCT(((H28+Inputs!$D$37)&gt;Parametros!$B$50:$B$58)*((H28+Inputs!$D$37)-Parametros!$B$50:$B$58)*Parametros!$E$50:$E$58)+SUMPRODUCT(((H28+Inputs!$D$37)&gt;Parametros!$B$62:$B$63)*((H28+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8" s="43">
        <f>C28-I28-J28</f>
        <v/>
      </c>
      <c r="L28" s="28">
        <f>A28-B28-(Inputs!$D$27*Parametros!$C$39+(Inputs!$D$28+Inputs!$D$29)*Parametros!$C$40+Inputs!$D$30*Parametros!$C$41)-(Inputs!$D$32)-((MAX(Inputs!$D$32,Parametros!$C$6*Parametros!$C$13*12))*Parametros!$C$11)</f>
        <v/>
      </c>
      <c r="M28" s="28">
        <f>MAX(0,(Inputs!$D$32)-MIN((Inputs!$D$32),MAX(Parametros!$C$25,(MAX(Inputs!$D$32,Parametros!$C$6*Parametros!$C$13*12))*Parametros!$C$12)))+MAX(L28,0)</f>
        <v/>
      </c>
      <c r="N28" s="28">
        <f>IF(Inputs!$D$38=1,2*(SUMPRODUCT((((M28+Inputs!$D$37)/2)&gt;Parametros!$B$50:$B$58)*(((M28+Inputs!$D$37)/2)-Parametros!$B$50:$B$58)*Parametros!$E$50:$E$58)+SUMPRODUCT((((M28+Inputs!$D$37)/2)&gt;Parametros!$B$62:$B$63)*(((M28+Inputs!$D$37)/2)-Parametros!$B$62:$B$63)*Parametros!$E$62:$E$63)),SUMPRODUCT(((M28+Inputs!$D$37)&gt;Parametros!$B$50:$B$58)*((M28+Inputs!$D$37)-Parametros!$B$50:$B$58)*Parametros!$E$50:$E$58)+SUMPRODUCT(((M28+Inputs!$D$37)&gt;Parametros!$B$62:$B$63)*((M28+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8" s="43">
        <f>C28-((MAX(Inputs!$D$32,Parametros!$C$6*Parametros!$C$13*12))*Parametros!$C$12)-((MAX(Inputs!$D$32,Parametros!$C$6*Parametros!$C$13*12))*Parametros!$C$11)-(Inputs!$D$33)-N28</f>
        <v/>
      </c>
      <c r="P28" s="28">
        <f>IF(AND(G28&gt;=$C$19,G27&lt;$C$19),A28,0)</f>
        <v/>
      </c>
      <c r="Q28" s="28">
        <f>IF(AND(K28&gt;=$C$19,K27&lt;$C$19),A28,0)</f>
        <v/>
      </c>
      <c r="R28" s="28">
        <f>IF(AND(O28&gt;=$C$19,O27&lt;$C$19),A28,0)</f>
        <v/>
      </c>
    </row>
    <row r="29">
      <c r="A29" s="45" t="n">
        <v>100000</v>
      </c>
      <c r="B29" s="28">
        <f>($D$10)+A29*(1-$D$9)</f>
        <v/>
      </c>
      <c r="C29" s="28">
        <f>A29-B29</f>
        <v/>
      </c>
      <c r="D29" s="28">
        <f>A29*Parametros!$C$19+MAX(0,A29*Parametros!$C$20-B29)-MAX(0,E29-A29*Parametros!$C$22)</f>
        <v/>
      </c>
      <c r="E29" s="28">
        <f>MAX(MIN(A29*Parametros!$C$7,Parametros!$C$6*Parametros!$C$9*12)*Parametros!$C$8,Parametros!$C$10*12)</f>
        <v/>
      </c>
      <c r="F29" s="28">
        <f>IF(Inputs!$D$38=1,2*(SUMPRODUCT((((D29+Inputs!$D$37)/2)&gt;Parametros!$B$50:$B$58)*(((D29+Inputs!$D$37)/2)-Parametros!$B$50:$B$58)*Parametros!$E$50:$E$58)+SUMPRODUCT((((D29+Inputs!$D$37)/2)&gt;Parametros!$B$62:$B$63)*(((D29+Inputs!$D$37)/2)-Parametros!$B$62:$B$63)*Parametros!$E$62:$E$63)),SUMPRODUCT(((D29+Inputs!$D$37)&gt;Parametros!$B$50:$B$58)*((D29+Inputs!$D$37)-Parametros!$B$50:$B$58)*Parametros!$E$50:$E$58)+SUMPRODUCT(((D29+Inputs!$D$37)&gt;Parametros!$B$62:$B$63)*((D29+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9" s="43">
        <f>C29-E29-F29</f>
        <v/>
      </c>
      <c r="H29" s="28">
        <f>MAX(0,A29-B29-(Inputs!$D$27*Parametros!$C$39+(Inputs!$D$28+Inputs!$D$29)*Parametros!$C$40+Inputs!$D$30*Parametros!$C$41)-I29)</f>
        <v/>
      </c>
      <c r="I29" s="28">
        <f>MAX(MIN(MAX(A29-B29-(Inputs!$D$27*Parametros!$C$39+(Inputs!$D$28+Inputs!$D$29)*Parametros!$C$40+Inputs!$D$30*Parametros!$C$41),0),Parametros!$C$6*Parametros!$C$9*12)*Parametros!$C$8,Parametros!$C$10*12)</f>
        <v/>
      </c>
      <c r="J29" s="28">
        <f>IF(Inputs!$D$38=1,2*(SUMPRODUCT((((H29+Inputs!$D$37)/2)&gt;Parametros!$B$50:$B$58)*(((H29+Inputs!$D$37)/2)-Parametros!$B$50:$B$58)*Parametros!$E$50:$E$58)+SUMPRODUCT((((H29+Inputs!$D$37)/2)&gt;Parametros!$B$62:$B$63)*(((H29+Inputs!$D$37)/2)-Parametros!$B$62:$B$63)*Parametros!$E$62:$E$63)),SUMPRODUCT(((H29+Inputs!$D$37)&gt;Parametros!$B$50:$B$58)*((H29+Inputs!$D$37)-Parametros!$B$50:$B$58)*Parametros!$E$50:$E$58)+SUMPRODUCT(((H29+Inputs!$D$37)&gt;Parametros!$B$62:$B$63)*((H29+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9" s="43">
        <f>C29-I29-J29</f>
        <v/>
      </c>
      <c r="L29" s="28">
        <f>A29-B29-(Inputs!$D$27*Parametros!$C$39+(Inputs!$D$28+Inputs!$D$29)*Parametros!$C$40+Inputs!$D$30*Parametros!$C$41)-(Inputs!$D$32)-((MAX(Inputs!$D$32,Parametros!$C$6*Parametros!$C$13*12))*Parametros!$C$11)</f>
        <v/>
      </c>
      <c r="M29" s="28">
        <f>MAX(0,(Inputs!$D$32)-MIN((Inputs!$D$32),MAX(Parametros!$C$25,(MAX(Inputs!$D$32,Parametros!$C$6*Parametros!$C$13*12))*Parametros!$C$12)))+MAX(L29,0)</f>
        <v/>
      </c>
      <c r="N29" s="28">
        <f>IF(Inputs!$D$38=1,2*(SUMPRODUCT((((M29+Inputs!$D$37)/2)&gt;Parametros!$B$50:$B$58)*(((M29+Inputs!$D$37)/2)-Parametros!$B$50:$B$58)*Parametros!$E$50:$E$58)+SUMPRODUCT((((M29+Inputs!$D$37)/2)&gt;Parametros!$B$62:$B$63)*(((M29+Inputs!$D$37)/2)-Parametros!$B$62:$B$63)*Parametros!$E$62:$E$63)),SUMPRODUCT(((M29+Inputs!$D$37)&gt;Parametros!$B$50:$B$58)*((M29+Inputs!$D$37)-Parametros!$B$50:$B$58)*Parametros!$E$50:$E$58)+SUMPRODUCT(((M29+Inputs!$D$37)&gt;Parametros!$B$62:$B$63)*((M29+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9" s="43">
        <f>C29-((MAX(Inputs!$D$32,Parametros!$C$6*Parametros!$C$13*12))*Parametros!$C$12)-((MAX(Inputs!$D$32,Parametros!$C$6*Parametros!$C$13*12))*Parametros!$C$11)-(Inputs!$D$33)-N29</f>
        <v/>
      </c>
      <c r="P29" s="28">
        <f>IF(AND(G29&gt;=$C$19,G28&lt;$C$19),A29,0)</f>
        <v/>
      </c>
      <c r="Q29" s="28">
        <f>IF(AND(K29&gt;=$C$19,K28&lt;$C$19),A29,0)</f>
        <v/>
      </c>
      <c r="R29" s="28">
        <f>IF(AND(O29&gt;=$C$19,O28&lt;$C$19),A29,0)</f>
        <v/>
      </c>
    </row>
    <row r="30">
      <c r="A30" s="45" t="n">
        <v>110000</v>
      </c>
      <c r="B30" s="28">
        <f>($D$10)+A30*(1-$D$9)</f>
        <v/>
      </c>
      <c r="C30" s="28">
        <f>A30-B30</f>
        <v/>
      </c>
      <c r="D30" s="28">
        <f>A30*Parametros!$C$19+MAX(0,A30*Parametros!$C$20-B30)-MAX(0,E30-A30*Parametros!$C$22)</f>
        <v/>
      </c>
      <c r="E30" s="28">
        <f>MAX(MIN(A30*Parametros!$C$7,Parametros!$C$6*Parametros!$C$9*12)*Parametros!$C$8,Parametros!$C$10*12)</f>
        <v/>
      </c>
      <c r="F30" s="28">
        <f>IF(Inputs!$D$38=1,2*(SUMPRODUCT((((D30+Inputs!$D$37)/2)&gt;Parametros!$B$50:$B$58)*(((D30+Inputs!$D$37)/2)-Parametros!$B$50:$B$58)*Parametros!$E$50:$E$58)+SUMPRODUCT((((D30+Inputs!$D$37)/2)&gt;Parametros!$B$62:$B$63)*(((D30+Inputs!$D$37)/2)-Parametros!$B$62:$B$63)*Parametros!$E$62:$E$63)),SUMPRODUCT(((D30+Inputs!$D$37)&gt;Parametros!$B$50:$B$58)*((D30+Inputs!$D$37)-Parametros!$B$50:$B$58)*Parametros!$E$50:$E$58)+SUMPRODUCT(((D30+Inputs!$D$37)&gt;Parametros!$B$62:$B$63)*((D30+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0" s="43">
        <f>C30-E30-F30</f>
        <v/>
      </c>
      <c r="H30" s="28">
        <f>MAX(0,A30-B30-(Inputs!$D$27*Parametros!$C$39+(Inputs!$D$28+Inputs!$D$29)*Parametros!$C$40+Inputs!$D$30*Parametros!$C$41)-I30)</f>
        <v/>
      </c>
      <c r="I30" s="28">
        <f>MAX(MIN(MAX(A30-B30-(Inputs!$D$27*Parametros!$C$39+(Inputs!$D$28+Inputs!$D$29)*Parametros!$C$40+Inputs!$D$30*Parametros!$C$41),0),Parametros!$C$6*Parametros!$C$9*12)*Parametros!$C$8,Parametros!$C$10*12)</f>
        <v/>
      </c>
      <c r="J30" s="28">
        <f>IF(Inputs!$D$38=1,2*(SUMPRODUCT((((H30+Inputs!$D$37)/2)&gt;Parametros!$B$50:$B$58)*(((H30+Inputs!$D$37)/2)-Parametros!$B$50:$B$58)*Parametros!$E$50:$E$58)+SUMPRODUCT((((H30+Inputs!$D$37)/2)&gt;Parametros!$B$62:$B$63)*(((H30+Inputs!$D$37)/2)-Parametros!$B$62:$B$63)*Parametros!$E$62:$E$63)),SUMPRODUCT(((H30+Inputs!$D$37)&gt;Parametros!$B$50:$B$58)*((H30+Inputs!$D$37)-Parametros!$B$50:$B$58)*Parametros!$E$50:$E$58)+SUMPRODUCT(((H30+Inputs!$D$37)&gt;Parametros!$B$62:$B$63)*((H30+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0" s="43">
        <f>C30-I30-J30</f>
        <v/>
      </c>
      <c r="L30" s="28">
        <f>A30-B30-(Inputs!$D$27*Parametros!$C$39+(Inputs!$D$28+Inputs!$D$29)*Parametros!$C$40+Inputs!$D$30*Parametros!$C$41)-(Inputs!$D$32)-((MAX(Inputs!$D$32,Parametros!$C$6*Parametros!$C$13*12))*Parametros!$C$11)</f>
        <v/>
      </c>
      <c r="M30" s="28">
        <f>MAX(0,(Inputs!$D$32)-MIN((Inputs!$D$32),MAX(Parametros!$C$25,(MAX(Inputs!$D$32,Parametros!$C$6*Parametros!$C$13*12))*Parametros!$C$12)))+MAX(L30,0)</f>
        <v/>
      </c>
      <c r="N30" s="28">
        <f>IF(Inputs!$D$38=1,2*(SUMPRODUCT((((M30+Inputs!$D$37)/2)&gt;Parametros!$B$50:$B$58)*(((M30+Inputs!$D$37)/2)-Parametros!$B$50:$B$58)*Parametros!$E$50:$E$58)+SUMPRODUCT((((M30+Inputs!$D$37)/2)&gt;Parametros!$B$62:$B$63)*(((M30+Inputs!$D$37)/2)-Parametros!$B$62:$B$63)*Parametros!$E$62:$E$63)),SUMPRODUCT(((M30+Inputs!$D$37)&gt;Parametros!$B$50:$B$58)*((M30+Inputs!$D$37)-Parametros!$B$50:$B$58)*Parametros!$E$50:$E$58)+SUMPRODUCT(((M30+Inputs!$D$37)&gt;Parametros!$B$62:$B$63)*((M30+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0" s="43">
        <f>C30-((MAX(Inputs!$D$32,Parametros!$C$6*Parametros!$C$13*12))*Parametros!$C$12)-((MAX(Inputs!$D$32,Parametros!$C$6*Parametros!$C$13*12))*Parametros!$C$11)-(Inputs!$D$33)-N30</f>
        <v/>
      </c>
      <c r="P30" s="28">
        <f>IF(AND(G30&gt;=$C$19,G29&lt;$C$19),A30,0)</f>
        <v/>
      </c>
      <c r="Q30" s="28">
        <f>IF(AND(K30&gt;=$C$19,K29&lt;$C$19),A30,0)</f>
        <v/>
      </c>
      <c r="R30" s="28">
        <f>IF(AND(O30&gt;=$C$19,O29&lt;$C$19),A30,0)</f>
        <v/>
      </c>
    </row>
    <row r="31">
      <c r="A31" s="45" t="n">
        <v>120000</v>
      </c>
      <c r="B31" s="28">
        <f>($D$10)+A31*(1-$D$9)</f>
        <v/>
      </c>
      <c r="C31" s="28">
        <f>A31-B31</f>
        <v/>
      </c>
      <c r="D31" s="28">
        <f>A31*Parametros!$C$19+MAX(0,A31*Parametros!$C$20-B31)-MAX(0,E31-A31*Parametros!$C$22)</f>
        <v/>
      </c>
      <c r="E31" s="28">
        <f>MAX(MIN(A31*Parametros!$C$7,Parametros!$C$6*Parametros!$C$9*12)*Parametros!$C$8,Parametros!$C$10*12)</f>
        <v/>
      </c>
      <c r="F31" s="28">
        <f>IF(Inputs!$D$38=1,2*(SUMPRODUCT((((D31+Inputs!$D$37)/2)&gt;Parametros!$B$50:$B$58)*(((D31+Inputs!$D$37)/2)-Parametros!$B$50:$B$58)*Parametros!$E$50:$E$58)+SUMPRODUCT((((D31+Inputs!$D$37)/2)&gt;Parametros!$B$62:$B$63)*(((D31+Inputs!$D$37)/2)-Parametros!$B$62:$B$63)*Parametros!$E$62:$E$63)),SUMPRODUCT(((D31+Inputs!$D$37)&gt;Parametros!$B$50:$B$58)*((D31+Inputs!$D$37)-Parametros!$B$50:$B$58)*Parametros!$E$50:$E$58)+SUMPRODUCT(((D31+Inputs!$D$37)&gt;Parametros!$B$62:$B$63)*((D31+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1" s="43">
        <f>C31-E31-F31</f>
        <v/>
      </c>
      <c r="H31" s="28">
        <f>MAX(0,A31-B31-(Inputs!$D$27*Parametros!$C$39+(Inputs!$D$28+Inputs!$D$29)*Parametros!$C$40+Inputs!$D$30*Parametros!$C$41)-I31)</f>
        <v/>
      </c>
      <c r="I31" s="28">
        <f>MAX(MIN(MAX(A31-B31-(Inputs!$D$27*Parametros!$C$39+(Inputs!$D$28+Inputs!$D$29)*Parametros!$C$40+Inputs!$D$30*Parametros!$C$41),0),Parametros!$C$6*Parametros!$C$9*12)*Parametros!$C$8,Parametros!$C$10*12)</f>
        <v/>
      </c>
      <c r="J31" s="28">
        <f>IF(Inputs!$D$38=1,2*(SUMPRODUCT((((H31+Inputs!$D$37)/2)&gt;Parametros!$B$50:$B$58)*(((H31+Inputs!$D$37)/2)-Parametros!$B$50:$B$58)*Parametros!$E$50:$E$58)+SUMPRODUCT((((H31+Inputs!$D$37)/2)&gt;Parametros!$B$62:$B$63)*(((H31+Inputs!$D$37)/2)-Parametros!$B$62:$B$63)*Parametros!$E$62:$E$63)),SUMPRODUCT(((H31+Inputs!$D$37)&gt;Parametros!$B$50:$B$58)*((H31+Inputs!$D$37)-Parametros!$B$50:$B$58)*Parametros!$E$50:$E$58)+SUMPRODUCT(((H31+Inputs!$D$37)&gt;Parametros!$B$62:$B$63)*((H31+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1" s="43">
        <f>C31-I31-J31</f>
        <v/>
      </c>
      <c r="L31" s="28">
        <f>A31-B31-(Inputs!$D$27*Parametros!$C$39+(Inputs!$D$28+Inputs!$D$29)*Parametros!$C$40+Inputs!$D$30*Parametros!$C$41)-(Inputs!$D$32)-((MAX(Inputs!$D$32,Parametros!$C$6*Parametros!$C$13*12))*Parametros!$C$11)</f>
        <v/>
      </c>
      <c r="M31" s="28">
        <f>MAX(0,(Inputs!$D$32)-MIN((Inputs!$D$32),MAX(Parametros!$C$25,(MAX(Inputs!$D$32,Parametros!$C$6*Parametros!$C$13*12))*Parametros!$C$12)))+MAX(L31,0)</f>
        <v/>
      </c>
      <c r="N31" s="28">
        <f>IF(Inputs!$D$38=1,2*(SUMPRODUCT((((M31+Inputs!$D$37)/2)&gt;Parametros!$B$50:$B$58)*(((M31+Inputs!$D$37)/2)-Parametros!$B$50:$B$58)*Parametros!$E$50:$E$58)+SUMPRODUCT((((M31+Inputs!$D$37)/2)&gt;Parametros!$B$62:$B$63)*(((M31+Inputs!$D$37)/2)-Parametros!$B$62:$B$63)*Parametros!$E$62:$E$63)),SUMPRODUCT(((M31+Inputs!$D$37)&gt;Parametros!$B$50:$B$58)*((M31+Inputs!$D$37)-Parametros!$B$50:$B$58)*Parametros!$E$50:$E$58)+SUMPRODUCT(((M31+Inputs!$D$37)&gt;Parametros!$B$62:$B$63)*((M31+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1" s="43">
        <f>C31-((MAX(Inputs!$D$32,Parametros!$C$6*Parametros!$C$13*12))*Parametros!$C$12)-((MAX(Inputs!$D$32,Parametros!$C$6*Parametros!$C$13*12))*Parametros!$C$11)-(Inputs!$D$33)-N31</f>
        <v/>
      </c>
      <c r="P31" s="28">
        <f>IF(AND(G31&gt;=$C$19,G30&lt;$C$19),A31,0)</f>
        <v/>
      </c>
      <c r="Q31" s="28">
        <f>IF(AND(K31&gt;=$C$19,K30&lt;$C$19),A31,0)</f>
        <v/>
      </c>
      <c r="R31" s="28">
        <f>IF(AND(O31&gt;=$C$19,O30&lt;$C$19),A31,0)</f>
        <v/>
      </c>
    </row>
    <row r="32">
      <c r="A32" s="45" t="n">
        <v>130000</v>
      </c>
      <c r="B32" s="28">
        <f>($D$10)+A32*(1-$D$9)</f>
        <v/>
      </c>
      <c r="C32" s="28">
        <f>A32-B32</f>
        <v/>
      </c>
      <c r="D32" s="28">
        <f>A32*Parametros!$C$19+MAX(0,A32*Parametros!$C$20-B32)-MAX(0,E32-A32*Parametros!$C$22)</f>
        <v/>
      </c>
      <c r="E32" s="28">
        <f>MAX(MIN(A32*Parametros!$C$7,Parametros!$C$6*Parametros!$C$9*12)*Parametros!$C$8,Parametros!$C$10*12)</f>
        <v/>
      </c>
      <c r="F32" s="28">
        <f>IF(Inputs!$D$38=1,2*(SUMPRODUCT((((D32+Inputs!$D$37)/2)&gt;Parametros!$B$50:$B$58)*(((D32+Inputs!$D$37)/2)-Parametros!$B$50:$B$58)*Parametros!$E$50:$E$58)+SUMPRODUCT((((D32+Inputs!$D$37)/2)&gt;Parametros!$B$62:$B$63)*(((D32+Inputs!$D$37)/2)-Parametros!$B$62:$B$63)*Parametros!$E$62:$E$63)),SUMPRODUCT(((D32+Inputs!$D$37)&gt;Parametros!$B$50:$B$58)*((D32+Inputs!$D$37)-Parametros!$B$50:$B$58)*Parametros!$E$50:$E$58)+SUMPRODUCT(((D32+Inputs!$D$37)&gt;Parametros!$B$62:$B$63)*((D32+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2" s="43">
        <f>C32-E32-F32</f>
        <v/>
      </c>
      <c r="H32" s="28">
        <f>MAX(0,A32-B32-(Inputs!$D$27*Parametros!$C$39+(Inputs!$D$28+Inputs!$D$29)*Parametros!$C$40+Inputs!$D$30*Parametros!$C$41)-I32)</f>
        <v/>
      </c>
      <c r="I32" s="28">
        <f>MAX(MIN(MAX(A32-B32-(Inputs!$D$27*Parametros!$C$39+(Inputs!$D$28+Inputs!$D$29)*Parametros!$C$40+Inputs!$D$30*Parametros!$C$41),0),Parametros!$C$6*Parametros!$C$9*12)*Parametros!$C$8,Parametros!$C$10*12)</f>
        <v/>
      </c>
      <c r="J32" s="28">
        <f>IF(Inputs!$D$38=1,2*(SUMPRODUCT((((H32+Inputs!$D$37)/2)&gt;Parametros!$B$50:$B$58)*(((H32+Inputs!$D$37)/2)-Parametros!$B$50:$B$58)*Parametros!$E$50:$E$58)+SUMPRODUCT((((H32+Inputs!$D$37)/2)&gt;Parametros!$B$62:$B$63)*(((H32+Inputs!$D$37)/2)-Parametros!$B$62:$B$63)*Parametros!$E$62:$E$63)),SUMPRODUCT(((H32+Inputs!$D$37)&gt;Parametros!$B$50:$B$58)*((H32+Inputs!$D$37)-Parametros!$B$50:$B$58)*Parametros!$E$50:$E$58)+SUMPRODUCT(((H32+Inputs!$D$37)&gt;Parametros!$B$62:$B$63)*((H32+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2" s="43">
        <f>C32-I32-J32</f>
        <v/>
      </c>
      <c r="L32" s="28">
        <f>A32-B32-(Inputs!$D$27*Parametros!$C$39+(Inputs!$D$28+Inputs!$D$29)*Parametros!$C$40+Inputs!$D$30*Parametros!$C$41)-(Inputs!$D$32)-((MAX(Inputs!$D$32,Parametros!$C$6*Parametros!$C$13*12))*Parametros!$C$11)</f>
        <v/>
      </c>
      <c r="M32" s="28">
        <f>MAX(0,(Inputs!$D$32)-MIN((Inputs!$D$32),MAX(Parametros!$C$25,(MAX(Inputs!$D$32,Parametros!$C$6*Parametros!$C$13*12))*Parametros!$C$12)))+MAX(L32,0)</f>
        <v/>
      </c>
      <c r="N32" s="28">
        <f>IF(Inputs!$D$38=1,2*(SUMPRODUCT((((M32+Inputs!$D$37)/2)&gt;Parametros!$B$50:$B$58)*(((M32+Inputs!$D$37)/2)-Parametros!$B$50:$B$58)*Parametros!$E$50:$E$58)+SUMPRODUCT((((M32+Inputs!$D$37)/2)&gt;Parametros!$B$62:$B$63)*(((M32+Inputs!$D$37)/2)-Parametros!$B$62:$B$63)*Parametros!$E$62:$E$63)),SUMPRODUCT(((M32+Inputs!$D$37)&gt;Parametros!$B$50:$B$58)*((M32+Inputs!$D$37)-Parametros!$B$50:$B$58)*Parametros!$E$50:$E$58)+SUMPRODUCT(((M32+Inputs!$D$37)&gt;Parametros!$B$62:$B$63)*((M32+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2" s="43">
        <f>C32-((MAX(Inputs!$D$32,Parametros!$C$6*Parametros!$C$13*12))*Parametros!$C$12)-((MAX(Inputs!$D$32,Parametros!$C$6*Parametros!$C$13*12))*Parametros!$C$11)-(Inputs!$D$33)-N32</f>
        <v/>
      </c>
      <c r="P32" s="28">
        <f>IF(AND(G32&gt;=$C$19,G31&lt;$C$19),A32,0)</f>
        <v/>
      </c>
      <c r="Q32" s="28">
        <f>IF(AND(K32&gt;=$C$19,K31&lt;$C$19),A32,0)</f>
        <v/>
      </c>
      <c r="R32" s="28">
        <f>IF(AND(O32&gt;=$C$19,O31&lt;$C$19),A32,0)</f>
        <v/>
      </c>
    </row>
    <row r="33">
      <c r="A33" s="45" t="n">
        <v>140000</v>
      </c>
      <c r="B33" s="28">
        <f>($D$10)+A33*(1-$D$9)</f>
        <v/>
      </c>
      <c r="C33" s="28">
        <f>A33-B33</f>
        <v/>
      </c>
      <c r="D33" s="28">
        <f>A33*Parametros!$C$19+MAX(0,A33*Parametros!$C$20-B33)-MAX(0,E33-A33*Parametros!$C$22)</f>
        <v/>
      </c>
      <c r="E33" s="28">
        <f>MAX(MIN(A33*Parametros!$C$7,Parametros!$C$6*Parametros!$C$9*12)*Parametros!$C$8,Parametros!$C$10*12)</f>
        <v/>
      </c>
      <c r="F33" s="28">
        <f>IF(Inputs!$D$38=1,2*(SUMPRODUCT((((D33+Inputs!$D$37)/2)&gt;Parametros!$B$50:$B$58)*(((D33+Inputs!$D$37)/2)-Parametros!$B$50:$B$58)*Parametros!$E$50:$E$58)+SUMPRODUCT((((D33+Inputs!$D$37)/2)&gt;Parametros!$B$62:$B$63)*(((D33+Inputs!$D$37)/2)-Parametros!$B$62:$B$63)*Parametros!$E$62:$E$63)),SUMPRODUCT(((D33+Inputs!$D$37)&gt;Parametros!$B$50:$B$58)*((D33+Inputs!$D$37)-Parametros!$B$50:$B$58)*Parametros!$E$50:$E$58)+SUMPRODUCT(((D33+Inputs!$D$37)&gt;Parametros!$B$62:$B$63)*((D33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3" s="43">
        <f>C33-E33-F33</f>
        <v/>
      </c>
      <c r="H33" s="28">
        <f>MAX(0,A33-B33-(Inputs!$D$27*Parametros!$C$39+(Inputs!$D$28+Inputs!$D$29)*Parametros!$C$40+Inputs!$D$30*Parametros!$C$41)-I33)</f>
        <v/>
      </c>
      <c r="I33" s="28">
        <f>MAX(MIN(MAX(A33-B33-(Inputs!$D$27*Parametros!$C$39+(Inputs!$D$28+Inputs!$D$29)*Parametros!$C$40+Inputs!$D$30*Parametros!$C$41),0),Parametros!$C$6*Parametros!$C$9*12)*Parametros!$C$8,Parametros!$C$10*12)</f>
        <v/>
      </c>
      <c r="J33" s="28">
        <f>IF(Inputs!$D$38=1,2*(SUMPRODUCT((((H33+Inputs!$D$37)/2)&gt;Parametros!$B$50:$B$58)*(((H33+Inputs!$D$37)/2)-Parametros!$B$50:$B$58)*Parametros!$E$50:$E$58)+SUMPRODUCT((((H33+Inputs!$D$37)/2)&gt;Parametros!$B$62:$B$63)*(((H33+Inputs!$D$37)/2)-Parametros!$B$62:$B$63)*Parametros!$E$62:$E$63)),SUMPRODUCT(((H33+Inputs!$D$37)&gt;Parametros!$B$50:$B$58)*((H33+Inputs!$D$37)-Parametros!$B$50:$B$58)*Parametros!$E$50:$E$58)+SUMPRODUCT(((H33+Inputs!$D$37)&gt;Parametros!$B$62:$B$63)*((H33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3" s="43">
        <f>C33-I33-J33</f>
        <v/>
      </c>
      <c r="L33" s="28">
        <f>A33-B33-(Inputs!$D$27*Parametros!$C$39+(Inputs!$D$28+Inputs!$D$29)*Parametros!$C$40+Inputs!$D$30*Parametros!$C$41)-(Inputs!$D$32)-((MAX(Inputs!$D$32,Parametros!$C$6*Parametros!$C$13*12))*Parametros!$C$11)</f>
        <v/>
      </c>
      <c r="M33" s="28">
        <f>MAX(0,(Inputs!$D$32)-MIN((Inputs!$D$32),MAX(Parametros!$C$25,(MAX(Inputs!$D$32,Parametros!$C$6*Parametros!$C$13*12))*Parametros!$C$12)))+MAX(L33,0)</f>
        <v/>
      </c>
      <c r="N33" s="28">
        <f>IF(Inputs!$D$38=1,2*(SUMPRODUCT((((M33+Inputs!$D$37)/2)&gt;Parametros!$B$50:$B$58)*(((M33+Inputs!$D$37)/2)-Parametros!$B$50:$B$58)*Parametros!$E$50:$E$58)+SUMPRODUCT((((M33+Inputs!$D$37)/2)&gt;Parametros!$B$62:$B$63)*(((M33+Inputs!$D$37)/2)-Parametros!$B$62:$B$63)*Parametros!$E$62:$E$63)),SUMPRODUCT(((M33+Inputs!$D$37)&gt;Parametros!$B$50:$B$58)*((M33+Inputs!$D$37)-Parametros!$B$50:$B$58)*Parametros!$E$50:$E$58)+SUMPRODUCT(((M33+Inputs!$D$37)&gt;Parametros!$B$62:$B$63)*((M33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3" s="43">
        <f>C33-((MAX(Inputs!$D$32,Parametros!$C$6*Parametros!$C$13*12))*Parametros!$C$12)-((MAX(Inputs!$D$32,Parametros!$C$6*Parametros!$C$13*12))*Parametros!$C$11)-(Inputs!$D$33)-N33</f>
        <v/>
      </c>
      <c r="P33" s="28">
        <f>IF(AND(G33&gt;=$C$19,G32&lt;$C$19),A33,0)</f>
        <v/>
      </c>
      <c r="Q33" s="28">
        <f>IF(AND(K33&gt;=$C$19,K32&lt;$C$19),A33,0)</f>
        <v/>
      </c>
      <c r="R33" s="28">
        <f>IF(AND(O33&gt;=$C$19,O32&lt;$C$19),A33,0)</f>
        <v/>
      </c>
    </row>
    <row r="34">
      <c r="A34" s="45" t="n">
        <v>150000</v>
      </c>
      <c r="B34" s="28">
        <f>($D$10)+A34*(1-$D$9)</f>
        <v/>
      </c>
      <c r="C34" s="28">
        <f>A34-B34</f>
        <v/>
      </c>
      <c r="D34" s="28">
        <f>A34*Parametros!$C$19+MAX(0,A34*Parametros!$C$20-B34)-MAX(0,E34-A34*Parametros!$C$22)</f>
        <v/>
      </c>
      <c r="E34" s="28">
        <f>MAX(MIN(A34*Parametros!$C$7,Parametros!$C$6*Parametros!$C$9*12)*Parametros!$C$8,Parametros!$C$10*12)</f>
        <v/>
      </c>
      <c r="F34" s="28">
        <f>IF(Inputs!$D$38=1,2*(SUMPRODUCT((((D34+Inputs!$D$37)/2)&gt;Parametros!$B$50:$B$58)*(((D34+Inputs!$D$37)/2)-Parametros!$B$50:$B$58)*Parametros!$E$50:$E$58)+SUMPRODUCT((((D34+Inputs!$D$37)/2)&gt;Parametros!$B$62:$B$63)*(((D34+Inputs!$D$37)/2)-Parametros!$B$62:$B$63)*Parametros!$E$62:$E$63)),SUMPRODUCT(((D34+Inputs!$D$37)&gt;Parametros!$B$50:$B$58)*((D34+Inputs!$D$37)-Parametros!$B$50:$B$58)*Parametros!$E$50:$E$58)+SUMPRODUCT(((D34+Inputs!$D$37)&gt;Parametros!$B$62:$B$63)*((D34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4" s="43">
        <f>C34-E34-F34</f>
        <v/>
      </c>
      <c r="H34" s="28">
        <f>MAX(0,A34-B34-(Inputs!$D$27*Parametros!$C$39+(Inputs!$D$28+Inputs!$D$29)*Parametros!$C$40+Inputs!$D$30*Parametros!$C$41)-I34)</f>
        <v/>
      </c>
      <c r="I34" s="28">
        <f>MAX(MIN(MAX(A34-B34-(Inputs!$D$27*Parametros!$C$39+(Inputs!$D$28+Inputs!$D$29)*Parametros!$C$40+Inputs!$D$30*Parametros!$C$41),0),Parametros!$C$6*Parametros!$C$9*12)*Parametros!$C$8,Parametros!$C$10*12)</f>
        <v/>
      </c>
      <c r="J34" s="28">
        <f>IF(Inputs!$D$38=1,2*(SUMPRODUCT((((H34+Inputs!$D$37)/2)&gt;Parametros!$B$50:$B$58)*(((H34+Inputs!$D$37)/2)-Parametros!$B$50:$B$58)*Parametros!$E$50:$E$58)+SUMPRODUCT((((H34+Inputs!$D$37)/2)&gt;Parametros!$B$62:$B$63)*(((H34+Inputs!$D$37)/2)-Parametros!$B$62:$B$63)*Parametros!$E$62:$E$63)),SUMPRODUCT(((H34+Inputs!$D$37)&gt;Parametros!$B$50:$B$58)*((H34+Inputs!$D$37)-Parametros!$B$50:$B$58)*Parametros!$E$50:$E$58)+SUMPRODUCT(((H34+Inputs!$D$37)&gt;Parametros!$B$62:$B$63)*((H34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4" s="43">
        <f>C34-I34-J34</f>
        <v/>
      </c>
      <c r="L34" s="28">
        <f>A34-B34-(Inputs!$D$27*Parametros!$C$39+(Inputs!$D$28+Inputs!$D$29)*Parametros!$C$40+Inputs!$D$30*Parametros!$C$41)-(Inputs!$D$32)-((MAX(Inputs!$D$32,Parametros!$C$6*Parametros!$C$13*12))*Parametros!$C$11)</f>
        <v/>
      </c>
      <c r="M34" s="28">
        <f>MAX(0,(Inputs!$D$32)-MIN((Inputs!$D$32),MAX(Parametros!$C$25,(MAX(Inputs!$D$32,Parametros!$C$6*Parametros!$C$13*12))*Parametros!$C$12)))+MAX(L34,0)</f>
        <v/>
      </c>
      <c r="N34" s="28">
        <f>IF(Inputs!$D$38=1,2*(SUMPRODUCT((((M34+Inputs!$D$37)/2)&gt;Parametros!$B$50:$B$58)*(((M34+Inputs!$D$37)/2)-Parametros!$B$50:$B$58)*Parametros!$E$50:$E$58)+SUMPRODUCT((((M34+Inputs!$D$37)/2)&gt;Parametros!$B$62:$B$63)*(((M34+Inputs!$D$37)/2)-Parametros!$B$62:$B$63)*Parametros!$E$62:$E$63)),SUMPRODUCT(((M34+Inputs!$D$37)&gt;Parametros!$B$50:$B$58)*((M34+Inputs!$D$37)-Parametros!$B$50:$B$58)*Parametros!$E$50:$E$58)+SUMPRODUCT(((M34+Inputs!$D$37)&gt;Parametros!$B$62:$B$63)*((M34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4" s="43">
        <f>C34-((MAX(Inputs!$D$32,Parametros!$C$6*Parametros!$C$13*12))*Parametros!$C$12)-((MAX(Inputs!$D$32,Parametros!$C$6*Parametros!$C$13*12))*Parametros!$C$11)-(Inputs!$D$33)-N34</f>
        <v/>
      </c>
      <c r="P34" s="28">
        <f>IF(AND(G34&gt;=$C$19,G33&lt;$C$19),A34,0)</f>
        <v/>
      </c>
      <c r="Q34" s="28">
        <f>IF(AND(K34&gt;=$C$19,K33&lt;$C$19),A34,0)</f>
        <v/>
      </c>
      <c r="R34" s="28">
        <f>IF(AND(O34&gt;=$C$19,O33&lt;$C$19),A34,0)</f>
        <v/>
      </c>
    </row>
    <row r="35">
      <c r="A35" s="45" t="n">
        <v>160000</v>
      </c>
      <c r="B35" s="28">
        <f>($D$10)+A35*(1-$D$9)</f>
        <v/>
      </c>
      <c r="C35" s="28">
        <f>A35-B35</f>
        <v/>
      </c>
      <c r="D35" s="28">
        <f>A35*Parametros!$C$19+MAX(0,A35*Parametros!$C$20-B35)-MAX(0,E35-A35*Parametros!$C$22)</f>
        <v/>
      </c>
      <c r="E35" s="28">
        <f>MAX(MIN(A35*Parametros!$C$7,Parametros!$C$6*Parametros!$C$9*12)*Parametros!$C$8,Parametros!$C$10*12)</f>
        <v/>
      </c>
      <c r="F35" s="28">
        <f>IF(Inputs!$D$38=1,2*(SUMPRODUCT((((D35+Inputs!$D$37)/2)&gt;Parametros!$B$50:$B$58)*(((D35+Inputs!$D$37)/2)-Parametros!$B$50:$B$58)*Parametros!$E$50:$E$58)+SUMPRODUCT((((D35+Inputs!$D$37)/2)&gt;Parametros!$B$62:$B$63)*(((D35+Inputs!$D$37)/2)-Parametros!$B$62:$B$63)*Parametros!$E$62:$E$63)),SUMPRODUCT(((D35+Inputs!$D$37)&gt;Parametros!$B$50:$B$58)*((D35+Inputs!$D$37)-Parametros!$B$50:$B$58)*Parametros!$E$50:$E$58)+SUMPRODUCT(((D35+Inputs!$D$37)&gt;Parametros!$B$62:$B$63)*((D35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5" s="43">
        <f>C35-E35-F35</f>
        <v/>
      </c>
      <c r="H35" s="28">
        <f>MAX(0,A35-B35-(Inputs!$D$27*Parametros!$C$39+(Inputs!$D$28+Inputs!$D$29)*Parametros!$C$40+Inputs!$D$30*Parametros!$C$41)-I35)</f>
        <v/>
      </c>
      <c r="I35" s="28">
        <f>MAX(MIN(MAX(A35-B35-(Inputs!$D$27*Parametros!$C$39+(Inputs!$D$28+Inputs!$D$29)*Parametros!$C$40+Inputs!$D$30*Parametros!$C$41),0),Parametros!$C$6*Parametros!$C$9*12)*Parametros!$C$8,Parametros!$C$10*12)</f>
        <v/>
      </c>
      <c r="J35" s="28">
        <f>IF(Inputs!$D$38=1,2*(SUMPRODUCT((((H35+Inputs!$D$37)/2)&gt;Parametros!$B$50:$B$58)*(((H35+Inputs!$D$37)/2)-Parametros!$B$50:$B$58)*Parametros!$E$50:$E$58)+SUMPRODUCT((((H35+Inputs!$D$37)/2)&gt;Parametros!$B$62:$B$63)*(((H35+Inputs!$D$37)/2)-Parametros!$B$62:$B$63)*Parametros!$E$62:$E$63)),SUMPRODUCT(((H35+Inputs!$D$37)&gt;Parametros!$B$50:$B$58)*((H35+Inputs!$D$37)-Parametros!$B$50:$B$58)*Parametros!$E$50:$E$58)+SUMPRODUCT(((H35+Inputs!$D$37)&gt;Parametros!$B$62:$B$63)*((H35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5" s="43">
        <f>C35-I35-J35</f>
        <v/>
      </c>
      <c r="L35" s="28">
        <f>A35-B35-(Inputs!$D$27*Parametros!$C$39+(Inputs!$D$28+Inputs!$D$29)*Parametros!$C$40+Inputs!$D$30*Parametros!$C$41)-(Inputs!$D$32)-((MAX(Inputs!$D$32,Parametros!$C$6*Parametros!$C$13*12))*Parametros!$C$11)</f>
        <v/>
      </c>
      <c r="M35" s="28">
        <f>MAX(0,(Inputs!$D$32)-MIN((Inputs!$D$32),MAX(Parametros!$C$25,(MAX(Inputs!$D$32,Parametros!$C$6*Parametros!$C$13*12))*Parametros!$C$12)))+MAX(L35,0)</f>
        <v/>
      </c>
      <c r="N35" s="28">
        <f>IF(Inputs!$D$38=1,2*(SUMPRODUCT((((M35+Inputs!$D$37)/2)&gt;Parametros!$B$50:$B$58)*(((M35+Inputs!$D$37)/2)-Parametros!$B$50:$B$58)*Parametros!$E$50:$E$58)+SUMPRODUCT((((M35+Inputs!$D$37)/2)&gt;Parametros!$B$62:$B$63)*(((M35+Inputs!$D$37)/2)-Parametros!$B$62:$B$63)*Parametros!$E$62:$E$63)),SUMPRODUCT(((M35+Inputs!$D$37)&gt;Parametros!$B$50:$B$58)*((M35+Inputs!$D$37)-Parametros!$B$50:$B$58)*Parametros!$E$50:$E$58)+SUMPRODUCT(((M35+Inputs!$D$37)&gt;Parametros!$B$62:$B$63)*((M35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5" s="43">
        <f>C35-((MAX(Inputs!$D$32,Parametros!$C$6*Parametros!$C$13*12))*Parametros!$C$12)-((MAX(Inputs!$D$32,Parametros!$C$6*Parametros!$C$13*12))*Parametros!$C$11)-(Inputs!$D$33)-N35</f>
        <v/>
      </c>
      <c r="P35" s="28">
        <f>IF(AND(G35&gt;=$C$19,G34&lt;$C$19),A35,0)</f>
        <v/>
      </c>
      <c r="Q35" s="28">
        <f>IF(AND(K35&gt;=$C$19,K34&lt;$C$19),A35,0)</f>
        <v/>
      </c>
      <c r="R35" s="28">
        <f>IF(AND(O35&gt;=$C$19,O34&lt;$C$19),A35,0)</f>
        <v/>
      </c>
    </row>
    <row r="37">
      <c r="A37" s="22" t="inlineStr">
        <is>
          <t>Faturação necessária para o rendimento-alvo — Via 1 — ENI simplificado</t>
        </is>
      </c>
      <c r="C37" s="27">
        <f>IF(MAX(P23:P35)=0,"Fora do intervalo analisado",MAX(P23:P35))</f>
        <v/>
      </c>
    </row>
    <row r="38">
      <c r="A38" s="22" t="inlineStr">
        <is>
          <t>Faturação necessária para o rendimento-alvo — Via 2 — ENI cont. organizada</t>
        </is>
      </c>
      <c r="C38" s="27">
        <f>IF(MAX(Q23:Q35)=0,"Fora do intervalo analisado",MAX(Q23:Q35))</f>
        <v/>
      </c>
    </row>
    <row r="39">
      <c r="A39" s="22" t="inlineStr">
        <is>
          <t>Faturação necessária para o rendimento-alvo — Via 3 — Sociedade transparente</t>
        </is>
      </c>
      <c r="C39" s="27">
        <f>IF(MAX(R23:R35)=0,"Fora do intervalo analisado",MAX(R23:R35))</f>
        <v/>
      </c>
    </row>
    <row r="43">
      <c r="A43" s="2" t="inlineStr">
        <is>
          <t>Como o break-even se move com o peso dos colaboradores</t>
        </is>
      </c>
      <c r="B43" s="7" t="n"/>
      <c r="C43" s="7" t="n"/>
      <c r="D43" s="7" t="n"/>
      <c r="E43" s="7" t="n"/>
      <c r="F43" s="7" t="n"/>
    </row>
    <row r="44" ht="46" customHeight="1">
      <c r="A44" s="20" t="inlineStr">
        <is>
          <t>Quando a faturação vem da própria Dra. Júlia, quase toda ela é margem. Quando vem de um colaborador pago a uma percentagem da sessão, sobra a diferença. Esta tabela mostra o que acontece ao break-even à medida que o peso dos colaboradores sobe, mantendo a receita total constante. A subida não é proporcional: o break-even é os custos fixos a dividir pela margem, e quando a margem se aproxima de zero o break-even dispara para o infinito.</t>
        </is>
      </c>
    </row>
    <row r="45" ht="28" customHeight="1">
      <c r="A45" s="6" t="inlineStr">
        <is>
          <t>Peso dos colaboradores na receita</t>
        </is>
      </c>
      <c r="B45" s="6" t="inlineStr">
        <is>
          <t>Margem de contribuição (%)</t>
        </is>
      </c>
      <c r="C45" s="6" t="inlineStr">
        <is>
          <t>Break-even anual</t>
        </is>
      </c>
      <c r="D45" s="6" t="inlineStr">
        <is>
          <t>Break-even mensal</t>
        </is>
      </c>
      <c r="E45" s="6" t="inlineStr">
        <is>
          <t>Utilização necessária</t>
        </is>
      </c>
      <c r="F45" s="6" t="inlineStr">
        <is>
          <t>Nota</t>
        </is>
      </c>
    </row>
    <row r="46">
      <c r="A46" s="42" t="n">
        <v>0</v>
      </c>
      <c r="B46" s="37">
        <f>1-Inputs!$D$23-A46*Inputs!$D$12</f>
        <v/>
      </c>
      <c r="C46" s="43">
        <f>IF(B46&lt;=0,"não atinge",$D$10/B46)</f>
        <v/>
      </c>
      <c r="D46" s="43">
        <f>IF(B46&lt;=0,"não atinge",C46/12)</f>
        <v/>
      </c>
      <c r="E46" s="37">
        <f>IF(B46&lt;=0,"n/a",C46/(BreakEven!$D$14*Operacao!$D$21))</f>
        <v/>
      </c>
    </row>
    <row r="47">
      <c r="A47" s="42" t="n">
        <v>0.1</v>
      </c>
      <c r="B47" s="37">
        <f>1-Inputs!$D$23-A47*Inputs!$D$12</f>
        <v/>
      </c>
      <c r="C47" s="43">
        <f>IF(B47&lt;=0,"não atinge",$D$10/B47)</f>
        <v/>
      </c>
      <c r="D47" s="43">
        <f>IF(B47&lt;=0,"não atinge",C47/12)</f>
        <v/>
      </c>
      <c r="E47" s="37">
        <f>IF(B47&lt;=0,"n/a",C47/(BreakEven!$D$14*Operacao!$D$21))</f>
        <v/>
      </c>
    </row>
    <row r="48">
      <c r="A48" s="42" t="n">
        <v>0.2</v>
      </c>
      <c r="B48" s="37">
        <f>1-Inputs!$D$23-A48*Inputs!$D$12</f>
        <v/>
      </c>
      <c r="C48" s="43">
        <f>IF(B48&lt;=0,"não atinge",$D$10/B48)</f>
        <v/>
      </c>
      <c r="D48" s="43">
        <f>IF(B48&lt;=0,"não atinge",C48/12)</f>
        <v/>
      </c>
      <c r="E48" s="37">
        <f>IF(B48&lt;=0,"n/a",C48/(BreakEven!$D$14*Operacao!$D$21))</f>
        <v/>
      </c>
    </row>
    <row r="49">
      <c r="A49" s="42" t="n">
        <v>0.3</v>
      </c>
      <c r="B49" s="37">
        <f>1-Inputs!$D$23-A49*Inputs!$D$12</f>
        <v/>
      </c>
      <c r="C49" s="43">
        <f>IF(B49&lt;=0,"não atinge",$D$10/B49)</f>
        <v/>
      </c>
      <c r="D49" s="43">
        <f>IF(B49&lt;=0,"não atinge",C49/12)</f>
        <v/>
      </c>
      <c r="E49" s="37">
        <f>IF(B49&lt;=0,"n/a",C49/(BreakEven!$D$14*Operacao!$D$21))</f>
        <v/>
      </c>
    </row>
    <row r="50">
      <c r="A50" s="42" t="n">
        <v>0.4</v>
      </c>
      <c r="B50" s="37">
        <f>1-Inputs!$D$23-A50*Inputs!$D$12</f>
        <v/>
      </c>
      <c r="C50" s="43">
        <f>IF(B50&lt;=0,"não atinge",$D$10/B50)</f>
        <v/>
      </c>
      <c r="D50" s="43">
        <f>IF(B50&lt;=0,"não atinge",C50/12)</f>
        <v/>
      </c>
      <c r="E50" s="37">
        <f>IF(B50&lt;=0,"n/a",C50/(BreakEven!$D$14*Operacao!$D$21))</f>
        <v/>
      </c>
    </row>
    <row r="51">
      <c r="A51" s="42" t="n">
        <v>0.5</v>
      </c>
      <c r="B51" s="37">
        <f>1-Inputs!$D$23-A51*Inputs!$D$12</f>
        <v/>
      </c>
      <c r="C51" s="43">
        <f>IF(B51&lt;=0,"não atinge",$D$10/B51)</f>
        <v/>
      </c>
      <c r="D51" s="43">
        <f>IF(B51&lt;=0,"não atinge",C51/12)</f>
        <v/>
      </c>
      <c r="E51" s="37">
        <f>IF(B51&lt;=0,"n/a",C51/(BreakEven!$D$14*Operacao!$D$21))</f>
        <v/>
      </c>
    </row>
    <row r="52">
      <c r="A52" s="42" t="n">
        <v>0.6000000000000001</v>
      </c>
      <c r="B52" s="37">
        <f>1-Inputs!$D$23-A52*Inputs!$D$12</f>
        <v/>
      </c>
      <c r="C52" s="43">
        <f>IF(B52&lt;=0,"não atinge",$D$10/B52)</f>
        <v/>
      </c>
      <c r="D52" s="43">
        <f>IF(B52&lt;=0,"não atinge",C52/12)</f>
        <v/>
      </c>
      <c r="E52" s="37">
        <f>IF(B52&lt;=0,"n/a",C52/(BreakEven!$D$14*Operacao!$D$21))</f>
        <v/>
      </c>
    </row>
    <row r="53">
      <c r="A53" s="42" t="n">
        <v>0.7000000000000001</v>
      </c>
      <c r="B53" s="37">
        <f>1-Inputs!$D$23-A53*Inputs!$D$12</f>
        <v/>
      </c>
      <c r="C53" s="43">
        <f>IF(B53&lt;=0,"não atinge",$D$10/B53)</f>
        <v/>
      </c>
      <c r="D53" s="43">
        <f>IF(B53&lt;=0,"não atinge",C53/12)</f>
        <v/>
      </c>
      <c r="E53" s="37">
        <f>IF(B53&lt;=0,"n/a",C53/(BreakEven!$D$14*Operacao!$D$21))</f>
        <v/>
      </c>
    </row>
    <row r="54">
      <c r="A54" s="42" t="n">
        <v>0.8</v>
      </c>
      <c r="B54" s="37">
        <f>1-Inputs!$D$23-A54*Inputs!$D$12</f>
        <v/>
      </c>
      <c r="C54" s="43">
        <f>IF(B54&lt;=0,"não atinge",$D$10/B54)</f>
        <v/>
      </c>
      <c r="D54" s="43">
        <f>IF(B54&lt;=0,"não atinge",C54/12)</f>
        <v/>
      </c>
      <c r="E54" s="37">
        <f>IF(B54&lt;=0,"n/a",C54/(BreakEven!$D$14*Operacao!$D$21))</f>
        <v/>
      </c>
    </row>
    <row r="56" ht="32" customHeight="1">
      <c r="A56" s="20" t="inlineStr">
        <is>
          <t>A ata regista, no ponto 6, que «se uma parte relevante da faturação corresponder a honorários de prestadores, a margem efetiva pode não justificar a alteração de estrutura». Esta tabela é essa frase em números — e mostra que o problema aparece muito antes de a margem chegar a zero.</t>
        </is>
      </c>
    </row>
    <row r="58" ht="30" customHeight="1">
      <c r="A58" s="20" t="inlineStr">
        <is>
          <t>A via 4 não consta desta tabela: o líquido depende da política de distribuição e da opção de englobamento, que são decisões e não funções da faturação. Para a via 4, fixar essas alavancas na folha Inputs e ler o resultado na folha Comparativo.</t>
        </is>
      </c>
    </row>
  </sheetData>
  <mergeCells count="5">
    <mergeCell ref="A2:F2"/>
    <mergeCell ref="A21:R21"/>
    <mergeCell ref="A44:F44"/>
    <mergeCell ref="A56:F56"/>
    <mergeCell ref="A58:R5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62"/>
  <sheetViews>
    <sheetView showGridLines="0" workbookViewId="0">
      <pane ySplit="4" topLeftCell="A5" activePane="bottomLeft" state="frozen"/>
      <selection pane="bottomLeft" activeCell="A1" sqref="A1"/>
    </sheetView>
  </sheetViews>
  <sheetFormatPr baseColWidth="8" defaultRowHeight="15"/>
  <cols>
    <col width="50" customWidth="1" min="1" max="1"/>
    <col width="12" customWidth="1" min="2" max="2"/>
    <col width="17" customWidth="1" min="3" max="3"/>
    <col width="17" customWidth="1" min="4" max="4"/>
    <col width="50" customWidth="1" min="5" max="5"/>
  </cols>
  <sheetData>
    <row r="1">
      <c r="A1" s="1" t="inlineStr">
        <is>
          <t>M1 — Espaço: 2 versus 3 gabinetes</t>
        </is>
      </c>
    </row>
    <row r="2" ht="44" customHeight="1">
      <c r="A2" s="20" t="inlineStr">
        <is>
          <t>A ata deixa a escolha em aberto e trata-a como uma questão de renda. Não é: o terceiro gabinete acrescenta capacidade e acrescenta custo fixo, e só compensa a partir de um nível de utilização. O output principal desta folha é esse nível.</t>
        </is>
      </c>
    </row>
    <row r="4" ht="28" customHeight="1">
      <c r="A4" s="6" t="inlineStr">
        <is>
          <t>Rubrica</t>
        </is>
      </c>
      <c r="B4" s="6" t="inlineStr">
        <is>
          <t>Ref.</t>
        </is>
      </c>
      <c r="C4" s="6" t="inlineStr">
        <is>
          <t>Opção A — 2 gabinetes</t>
        </is>
      </c>
      <c r="D4" s="6" t="inlineStr">
        <is>
          <t>Opção B — 3 gabinetes</t>
        </is>
      </c>
      <c r="E4" s="6" t="inlineStr">
        <is>
          <t>Nota</t>
        </is>
      </c>
    </row>
    <row r="5">
      <c r="A5" s="2" t="inlineStr">
        <is>
          <t>Características de cada espaço</t>
        </is>
      </c>
      <c r="B5" s="7" t="n"/>
      <c r="C5" s="7" t="n"/>
      <c r="D5" s="7" t="n"/>
      <c r="E5" s="7" t="n"/>
    </row>
    <row r="6">
      <c r="A6" s="8" t="inlineStr">
        <is>
          <t>N.º de gabinetes</t>
        </is>
      </c>
      <c r="B6" s="9" t="inlineStr">
        <is>
          <t>N_GAB</t>
        </is>
      </c>
      <c r="C6" s="15" t="n">
        <v>2</v>
      </c>
      <c r="D6" s="15" t="n">
        <v>3</v>
      </c>
      <c r="E6" s="17" t="inlineStr"/>
    </row>
    <row r="7">
      <c r="A7" s="8" t="inlineStr">
        <is>
          <t>Renda anual</t>
        </is>
      </c>
      <c r="B7" s="9" t="inlineStr">
        <is>
          <t>RENDA</t>
        </is>
      </c>
      <c r="C7" s="16" t="n">
        <v>14400</v>
      </c>
      <c r="D7" s="16" t="n">
        <v>19200</v>
      </c>
      <c r="E7" s="17" t="inlineStr">
        <is>
          <t>Input cliente 3 — EM FALTA, para os dois espaços.</t>
        </is>
      </c>
    </row>
    <row r="8">
      <c r="A8" s="8" t="inlineStr">
        <is>
          <t>Condomínio e encargos anuais</t>
        </is>
      </c>
      <c r="B8" s="9" t="inlineStr">
        <is>
          <t>CONDOM</t>
        </is>
      </c>
      <c r="C8" s="16" t="n">
        <v>1500</v>
      </c>
      <c r="D8" s="16" t="n">
        <v>2000</v>
      </c>
      <c r="E8" s="17" t="inlineStr">
        <is>
          <t>EM FALTA.</t>
        </is>
      </c>
    </row>
    <row r="9">
      <c r="A9" s="8" t="inlineStr">
        <is>
          <t>Obras de adaptação</t>
        </is>
      </c>
      <c r="B9" s="9" t="inlineStr">
        <is>
          <t>OBRAS</t>
        </is>
      </c>
      <c r="C9" s="16" t="n">
        <v>25000</v>
      </c>
      <c r="D9" s="16" t="n">
        <v>38000</v>
      </c>
      <c r="E9" s="17" t="inlineStr">
        <is>
          <t>Input cliente 4 — EM FALTA.</t>
        </is>
      </c>
    </row>
    <row r="10">
      <c r="A10" s="8" t="inlineStr">
        <is>
          <t>Equipamento clínico</t>
        </is>
      </c>
      <c r="B10" s="9" t="inlineStr">
        <is>
          <t>EQUIP</t>
        </is>
      </c>
      <c r="C10" s="16" t="n">
        <v>20000</v>
      </c>
      <c r="D10" s="16" t="n">
        <v>26000</v>
      </c>
      <c r="E10" s="17" t="inlineStr">
        <is>
          <t>EM FALTA.</t>
        </is>
      </c>
    </row>
    <row r="11">
      <c r="A11" s="2" t="inlineStr">
        <is>
          <t>Pressupostos comuns</t>
        </is>
      </c>
      <c r="B11" s="7" t="n"/>
      <c r="C11" s="7" t="n"/>
      <c r="D11" s="7" t="n"/>
      <c r="E11" s="7" t="n"/>
    </row>
    <row r="12">
      <c r="A12" s="8" t="inlineStr">
        <is>
          <t>Taxa de utilização a testar</t>
        </is>
      </c>
      <c r="B12" s="9" t="inlineStr">
        <is>
          <t>UTIL</t>
        </is>
      </c>
      <c r="C12" s="13" t="n">
        <v>0.45</v>
      </c>
      <c r="D12" s="13" t="n">
        <v>0.45</v>
      </c>
      <c r="E12" s="17" t="inlineStr">
        <is>
          <t>ALAVANCA. Varrida na tabela em baixo. Aqui serve para a fotografia de um único ponto.</t>
        </is>
      </c>
    </row>
    <row r="13">
      <c r="A13" s="8" t="inlineStr">
        <is>
          <t>Preço médio por consulta</t>
        </is>
      </c>
      <c r="B13" s="9" t="inlineStr">
        <is>
          <t>PRECO_M</t>
        </is>
      </c>
      <c r="C13" s="44">
        <f>BreakEven!$D$14</f>
        <v/>
      </c>
      <c r="D13" s="44">
        <f>BreakEven!$D$14</f>
        <v/>
      </c>
      <c r="E13" s="17" t="inlineStr"/>
    </row>
    <row r="14">
      <c r="A14" s="8" t="inlineStr">
        <is>
          <t>Custos variáveis em % da receita</t>
        </is>
      </c>
      <c r="B14" s="9" t="inlineStr">
        <is>
          <t>PCT_VAR</t>
        </is>
      </c>
      <c r="C14" s="36">
        <f>1-BreakEven!$D$9</f>
        <v/>
      </c>
      <c r="D14" s="36">
        <f>1-BreakEven!$D$9</f>
        <v/>
      </c>
      <c r="E14" s="17" t="inlineStr"/>
    </row>
    <row r="15">
      <c r="A15" s="8" t="inlineStr">
        <is>
          <t>Outros custos fixos (seguros, software, outros)</t>
        </is>
      </c>
      <c r="B15" s="9" t="inlineStr">
        <is>
          <t>CF_OUTROS</t>
        </is>
      </c>
      <c r="C15" s="35">
        <f>Inputs!$D$21+Inputs!$D$22+Inputs!$D$25</f>
        <v/>
      </c>
      <c r="D15" s="35">
        <f>Inputs!$D$21+Inputs!$D$22+Inputs!$D$25</f>
        <v/>
      </c>
      <c r="E15" s="17" t="inlineStr"/>
    </row>
    <row r="16">
      <c r="A16" s="8" t="inlineStr">
        <is>
          <t>Taxa de esforço fiscal e contributiva aplicada</t>
        </is>
      </c>
      <c r="B16" s="9" t="inlineStr">
        <is>
          <t>TX_ESF</t>
        </is>
      </c>
      <c r="C16" s="36">
        <f>V2_ENI_ContOrg!$D$27</f>
        <v/>
      </c>
      <c r="D16" s="36">
        <f>V2_ENI_ContOrg!$D$27</f>
        <v/>
      </c>
      <c r="E16" s="17" t="inlineStr">
        <is>
          <t>Usa a taxa de esforço da via 2 no cenário Base. É uma aproximação assumida: a comparação entre espaços é operacional, e a estrutura fiscal é a mesma nos dois. Registado em R1-33.</t>
        </is>
      </c>
    </row>
    <row r="17">
      <c r="A17" s="2" t="inlineStr">
        <is>
          <t>Capacidade e resultado ao nível de utilização testado</t>
        </is>
      </c>
      <c r="B17" s="7" t="n"/>
      <c r="C17" s="7" t="n"/>
      <c r="D17" s="7" t="n"/>
      <c r="E17" s="7" t="n"/>
    </row>
    <row r="18">
      <c r="A18" s="22" t="inlineStr">
        <is>
          <t>Capacidade anual (consultas)</t>
        </is>
      </c>
      <c r="B18" s="9" t="inlineStr">
        <is>
          <t>CAP</t>
        </is>
      </c>
      <c r="C18" s="23">
        <f>$C$6*Operacao!$D$7*Operacao!$D$20</f>
        <v/>
      </c>
      <c r="D18" s="23">
        <f>$D$6*Operacao!$D$7*Operacao!$D$20</f>
        <v/>
      </c>
      <c r="E18" s="17" t="inlineStr"/>
    </row>
    <row r="19">
      <c r="A19" s="8" t="inlineStr">
        <is>
          <t>Consultas ao nível de utilização testado</t>
        </is>
      </c>
      <c r="B19" s="9" t="inlineStr">
        <is>
          <t>CONS</t>
        </is>
      </c>
      <c r="C19" s="24">
        <f>$C$18*$C$12</f>
        <v/>
      </c>
      <c r="D19" s="24">
        <f>$D$18*$D$12</f>
        <v/>
      </c>
      <c r="E19" s="17" t="inlineStr"/>
    </row>
    <row r="20">
      <c r="A20" s="22" t="inlineStr">
        <is>
          <t>Faturação potencial</t>
        </is>
      </c>
      <c r="B20" s="9" t="inlineStr">
        <is>
          <t>FAT</t>
        </is>
      </c>
      <c r="C20" s="27">
        <f>$C$19*$C$13</f>
        <v/>
      </c>
      <c r="D20" s="27">
        <f>$D$19*$D$13</f>
        <v/>
      </c>
      <c r="E20" s="17" t="inlineStr"/>
    </row>
    <row r="21">
      <c r="A21" s="8" t="inlineStr">
        <is>
          <t>Margem de contribuição</t>
        </is>
      </c>
      <c r="B21" s="9" t="inlineStr">
        <is>
          <t>MC</t>
        </is>
      </c>
      <c r="C21" s="28">
        <f>$C$20*(1-$C$14)</f>
        <v/>
      </c>
      <c r="D21" s="28">
        <f>$D$20*(1-$D$14)</f>
        <v/>
      </c>
      <c r="E21" s="17" t="inlineStr"/>
    </row>
    <row r="22">
      <c r="A22" s="8" t="inlineStr">
        <is>
          <t>Custos fixos totais</t>
        </is>
      </c>
      <c r="B22" s="9" t="inlineStr">
        <is>
          <t>CF</t>
        </is>
      </c>
      <c r="C22" s="28">
        <f>$C$7+$C$8+$C$15</f>
        <v/>
      </c>
      <c r="D22" s="28">
        <f>$D$7+$D$8+$D$15</f>
        <v/>
      </c>
      <c r="E22" s="17" t="inlineStr"/>
    </row>
    <row r="23">
      <c r="A23" s="22" t="inlineStr">
        <is>
          <t>Resultado operacional</t>
        </is>
      </c>
      <c r="B23" s="9" t="inlineStr">
        <is>
          <t>RES</t>
        </is>
      </c>
      <c r="C23" s="27">
        <f>$C$21-$C$22</f>
        <v/>
      </c>
      <c r="D23" s="27">
        <f>$D$21-$D$22</f>
        <v/>
      </c>
      <c r="E23" s="17" t="inlineStr"/>
    </row>
    <row r="24">
      <c r="A24" s="22" t="inlineStr">
        <is>
          <t>Resultado líquido de impostos e contribuições</t>
        </is>
      </c>
      <c r="B24" s="9" t="inlineStr">
        <is>
          <t>RES_LIQ</t>
        </is>
      </c>
      <c r="C24" s="27">
        <f>$C$23*(1-$C$16)</f>
        <v/>
      </c>
      <c r="D24" s="27">
        <f>$D$23*(1-$D$16)</f>
        <v/>
      </c>
      <c r="E24" s="17" t="inlineStr"/>
    </row>
    <row r="25">
      <c r="A25" s="2" t="inlineStr">
        <is>
          <t>Investimento e recuperação</t>
        </is>
      </c>
      <c r="B25" s="7" t="n"/>
      <c r="C25" s="7" t="n"/>
      <c r="D25" s="7" t="n"/>
      <c r="E25" s="7" t="n"/>
    </row>
    <row r="26">
      <c r="A26" s="8" t="inlineStr">
        <is>
          <t>IVA não dedutível sobre o investimento</t>
        </is>
      </c>
      <c r="B26" s="9" t="inlineStr">
        <is>
          <t>IVA_P</t>
        </is>
      </c>
      <c r="C26" s="28">
        <f>($C$9+$C$10)*Parametros!$C$36</f>
        <v/>
      </c>
      <c r="D26" s="28">
        <f>($D$9+$D$10)*Parametros!$C$36</f>
        <v/>
      </c>
      <c r="E26" s="17" t="inlineStr">
        <is>
          <t>Custo definitivo: a fisioterapia é isenta sem direito à dedução.</t>
        </is>
      </c>
    </row>
    <row r="27">
      <c r="A27" s="22" t="inlineStr">
        <is>
          <t>INVESTIMENTO INICIAL TOTAL</t>
        </is>
      </c>
      <c r="B27" s="9" t="inlineStr">
        <is>
          <t>INV</t>
        </is>
      </c>
      <c r="C27" s="27">
        <f>$C$9+$C$10+$C$26</f>
        <v/>
      </c>
      <c r="D27" s="27">
        <f>$D$9+$D$10+$D$26</f>
        <v/>
      </c>
      <c r="E27" s="17" t="inlineStr"/>
    </row>
    <row r="28">
      <c r="A28" s="22" t="inlineStr">
        <is>
          <t>PAYBACK (anos)</t>
        </is>
      </c>
      <c r="B28" s="9" t="inlineStr">
        <is>
          <t>PAYBACK</t>
        </is>
      </c>
      <c r="C28" s="46">
        <f>IF($C$24&lt;=0,"Não recupera",$C$27/$C$24)</f>
        <v/>
      </c>
      <c r="D28" s="46">
        <f>IF($D$24&lt;=0,"Não recupera",$D$27/$D$24)</f>
        <v/>
      </c>
      <c r="E28" s="17" t="inlineStr">
        <is>
          <t>Anos de resultado líquido necessários para recuperar o investimento, ao nível de utilização testado. Não desconta o valor do dinheiro no tempo — para esta dimensão, não compensa.</t>
        </is>
      </c>
    </row>
    <row r="29">
      <c r="A29" s="8" t="inlineStr">
        <is>
          <t>Retorno anual sobre o investimento</t>
        </is>
      </c>
      <c r="B29" s="9" t="inlineStr">
        <is>
          <t>ROI</t>
        </is>
      </c>
      <c r="C29" s="37">
        <f>IF($C$27&lt;=0,0,$C$24/$C$27)</f>
        <v/>
      </c>
      <c r="D29" s="37">
        <f>IF($D$27&lt;=0,0,$D$24/$D$27)</f>
        <v/>
      </c>
      <c r="E29" s="17" t="inlineStr"/>
    </row>
    <row r="30">
      <c r="A30" s="22" t="inlineStr">
        <is>
          <t>Utilização necessária para o break-even operacional</t>
        </is>
      </c>
      <c r="B30" s="9" t="inlineStr">
        <is>
          <t>BE_UTIL</t>
        </is>
      </c>
      <c r="C30" s="25">
        <f>IF($C$18*$C$13*(1-$C$14)&lt;=0,0,$C$22/($C$18*$C$13*(1-$C$14)))</f>
        <v/>
      </c>
      <c r="D30" s="25">
        <f>IF($D$18*$D$13*(1-$D$14)&lt;=0,0,$D$22/($D$18*$D$13*(1-$D$14)))</f>
        <v/>
      </c>
      <c r="E30" s="17" t="inlineStr">
        <is>
          <t>Acima de 100%, o espaço não cobre os próprios custos fixos a lotação máxima.</t>
        </is>
      </c>
    </row>
    <row r="32">
      <c r="A32" s="2" t="inlineStr">
        <is>
          <t>O custo do degrau — se o terceiro gabinete não encher</t>
        </is>
      </c>
      <c r="B32" s="7" t="n"/>
      <c r="C32" s="7" t="n"/>
      <c r="D32" s="7" t="n"/>
      <c r="E32" s="7" t="n"/>
    </row>
    <row r="33" ht="26" customHeight="1">
      <c r="A33" s="22" t="inlineStr">
        <is>
          <t>Custo fixo adicional anual da opção B</t>
        </is>
      </c>
      <c r="C33" s="27">
        <f>$D$22-$C$22</f>
        <v/>
      </c>
      <c r="E33" s="17" t="inlineStr">
        <is>
          <t>Renda e condomínio a mais, todos os anos, independentemente de haver doentes para os ocupar.</t>
        </is>
      </c>
    </row>
    <row r="34" ht="26" customHeight="1">
      <c r="A34" s="22" t="inlineStr">
        <is>
          <t>Custo do degrau, líquido de impostos</t>
        </is>
      </c>
      <c r="C34" s="27">
        <f>($D$22-$C$22)*(1-$C$16)</f>
        <v/>
      </c>
      <c r="E34" s="17" t="inlineStr">
        <is>
          <t>É este o valor que a Dra. Júlia perde por ano se escolher três gabinetes e a procura não passar do que dois comportavam.</t>
        </is>
      </c>
    </row>
    <row r="35" ht="26" customHeight="1">
      <c r="A35" s="22" t="inlineStr">
        <is>
          <t>Investimento adicional da opção B</t>
        </is>
      </c>
      <c r="C35" s="27">
        <f>$D$27-$C$27</f>
        <v/>
      </c>
      <c r="E35" s="17" t="inlineStr">
        <is>
          <t>Obras, equipamento e IVA irrecuperável a mais, de uma só vez.</t>
        </is>
      </c>
    </row>
    <row r="36" ht="26" customHeight="1">
      <c r="A36" s="22" t="inlineStr">
        <is>
          <t>Consultas anuais adicionais necessárias para o degrau se pagar</t>
        </is>
      </c>
      <c r="C36" s="23">
        <f>IF($C$13*(1-$C$14)&lt;=0,0,($D$22-$C$22)/($C$13*(1-$C$14)))</f>
        <v/>
      </c>
      <c r="E36" s="17" t="inlineStr">
        <is>
          <t>Traduzido para a única unidade que a cliente controla: doentes.</t>
        </is>
      </c>
    </row>
    <row r="38">
      <c r="A38" s="2" t="inlineStr">
        <is>
          <t>A partir de que procura compensa o terceiro gabinete</t>
        </is>
      </c>
      <c r="B38" s="7" t="n"/>
      <c r="C38" s="7" t="n"/>
      <c r="D38" s="7" t="n"/>
      <c r="E38" s="7" t="n"/>
    </row>
    <row r="39" ht="44" customHeight="1">
      <c r="A39" s="20" t="inlineStr">
        <is>
          <t>O eixo é a PROCURA, em consultas por ano — não a taxa de utilização. Comparar as duas opções à mesma percentagem de utilização daria automaticamente mais 50% de consultas à opção de três gabinetes, e a comparação não significaria nada. À mesma procura, cada opção atende o que a sua capacidade permite, e o terceiro gabinete só vale alguma coisa quando a procura ultrapassa a capacidade de dois.</t>
        </is>
      </c>
    </row>
    <row r="40" ht="28" customHeight="1">
      <c r="A40" s="6" t="inlineStr">
        <is>
          <t>Procura anual (consultas)</t>
        </is>
      </c>
      <c r="B40" s="6" t="inlineStr">
        <is>
          <t>Resultado líquido — 2 gabinetes</t>
        </is>
      </c>
      <c r="C40" s="6" t="inlineStr">
        <is>
          <t>Resultado líquido — 3 gabinetes</t>
        </is>
      </c>
      <c r="D40" s="6" t="inlineStr">
        <is>
          <t>Diferencial</t>
        </is>
      </c>
      <c r="E40" s="6" t="inlineStr">
        <is>
          <t>Viragem</t>
        </is>
      </c>
    </row>
    <row r="41">
      <c r="A41" s="38" t="n">
        <v>1000</v>
      </c>
      <c r="B41" s="28">
        <f>(MIN(A41,$C$18)*$C$13*(1-$C$14)-$C$22)*(1-$C$16)</f>
        <v/>
      </c>
      <c r="C41" s="28">
        <f>(MIN(A41,$D$18)*$D$13*(1-$D$14)-$D$22)*(1-$D$16)</f>
        <v/>
      </c>
      <c r="D41" s="43">
        <f>C41-B41</f>
        <v/>
      </c>
      <c r="E41" s="24">
        <f>0</f>
        <v/>
      </c>
    </row>
    <row r="42">
      <c r="A42" s="38" t="n">
        <v>1400</v>
      </c>
      <c r="B42" s="28">
        <f>(MIN(A42,$C$18)*$C$13*(1-$C$14)-$C$22)*(1-$C$16)</f>
        <v/>
      </c>
      <c r="C42" s="28">
        <f>(MIN(A42,$D$18)*$D$13*(1-$D$14)-$D$22)*(1-$D$16)</f>
        <v/>
      </c>
      <c r="D42" s="43">
        <f>C42-B42</f>
        <v/>
      </c>
      <c r="E42" s="24">
        <f>IF(AND(D42&gt;=0,D41&lt;0),A42,0)</f>
        <v/>
      </c>
    </row>
    <row r="43">
      <c r="A43" s="38" t="n">
        <v>1800</v>
      </c>
      <c r="B43" s="28">
        <f>(MIN(A43,$C$18)*$C$13*(1-$C$14)-$C$22)*(1-$C$16)</f>
        <v/>
      </c>
      <c r="C43" s="28">
        <f>(MIN(A43,$D$18)*$D$13*(1-$D$14)-$D$22)*(1-$D$16)</f>
        <v/>
      </c>
      <c r="D43" s="43">
        <f>C43-B43</f>
        <v/>
      </c>
      <c r="E43" s="24">
        <f>IF(AND(D43&gt;=0,D42&lt;0),A43,0)</f>
        <v/>
      </c>
    </row>
    <row r="44">
      <c r="A44" s="38" t="n">
        <v>2200</v>
      </c>
      <c r="B44" s="28">
        <f>(MIN(A44,$C$18)*$C$13*(1-$C$14)-$C$22)*(1-$C$16)</f>
        <v/>
      </c>
      <c r="C44" s="28">
        <f>(MIN(A44,$D$18)*$D$13*(1-$D$14)-$D$22)*(1-$D$16)</f>
        <v/>
      </c>
      <c r="D44" s="43">
        <f>C44-B44</f>
        <v/>
      </c>
      <c r="E44" s="24">
        <f>IF(AND(D44&gt;=0,D43&lt;0),A44,0)</f>
        <v/>
      </c>
    </row>
    <row r="45">
      <c r="A45" s="38" t="n">
        <v>2600</v>
      </c>
      <c r="B45" s="28">
        <f>(MIN(A45,$C$18)*$C$13*(1-$C$14)-$C$22)*(1-$C$16)</f>
        <v/>
      </c>
      <c r="C45" s="28">
        <f>(MIN(A45,$D$18)*$D$13*(1-$D$14)-$D$22)*(1-$D$16)</f>
        <v/>
      </c>
      <c r="D45" s="43">
        <f>C45-B45</f>
        <v/>
      </c>
      <c r="E45" s="24">
        <f>IF(AND(D45&gt;=0,D44&lt;0),A45,0)</f>
        <v/>
      </c>
    </row>
    <row r="46">
      <c r="A46" s="38" t="n">
        <v>3000</v>
      </c>
      <c r="B46" s="28">
        <f>(MIN(A46,$C$18)*$C$13*(1-$C$14)-$C$22)*(1-$C$16)</f>
        <v/>
      </c>
      <c r="C46" s="28">
        <f>(MIN(A46,$D$18)*$D$13*(1-$D$14)-$D$22)*(1-$D$16)</f>
        <v/>
      </c>
      <c r="D46" s="43">
        <f>C46-B46</f>
        <v/>
      </c>
      <c r="E46" s="24">
        <f>IF(AND(D46&gt;=0,D45&lt;0),A46,0)</f>
        <v/>
      </c>
    </row>
    <row r="47">
      <c r="A47" s="38" t="n">
        <v>3400</v>
      </c>
      <c r="B47" s="28">
        <f>(MIN(A47,$C$18)*$C$13*(1-$C$14)-$C$22)*(1-$C$16)</f>
        <v/>
      </c>
      <c r="C47" s="28">
        <f>(MIN(A47,$D$18)*$D$13*(1-$D$14)-$D$22)*(1-$D$16)</f>
        <v/>
      </c>
      <c r="D47" s="43">
        <f>C47-B47</f>
        <v/>
      </c>
      <c r="E47" s="24">
        <f>IF(AND(D47&gt;=0,D46&lt;0),A47,0)</f>
        <v/>
      </c>
    </row>
    <row r="48">
      <c r="A48" s="38" t="n">
        <v>3800</v>
      </c>
      <c r="B48" s="28">
        <f>(MIN(A48,$C$18)*$C$13*(1-$C$14)-$C$22)*(1-$C$16)</f>
        <v/>
      </c>
      <c r="C48" s="28">
        <f>(MIN(A48,$D$18)*$D$13*(1-$D$14)-$D$22)*(1-$D$16)</f>
        <v/>
      </c>
      <c r="D48" s="43">
        <f>C48-B48</f>
        <v/>
      </c>
      <c r="E48" s="24">
        <f>IF(AND(D48&gt;=0,D47&lt;0),A48,0)</f>
        <v/>
      </c>
    </row>
    <row r="49">
      <c r="A49" s="38" t="n">
        <v>4200</v>
      </c>
      <c r="B49" s="28">
        <f>(MIN(A49,$C$18)*$C$13*(1-$C$14)-$C$22)*(1-$C$16)</f>
        <v/>
      </c>
      <c r="C49" s="28">
        <f>(MIN(A49,$D$18)*$D$13*(1-$D$14)-$D$22)*(1-$D$16)</f>
        <v/>
      </c>
      <c r="D49" s="43">
        <f>C49-B49</f>
        <v/>
      </c>
      <c r="E49" s="24">
        <f>IF(AND(D49&gt;=0,D48&lt;0),A49,0)</f>
        <v/>
      </c>
    </row>
    <row r="50">
      <c r="A50" s="38" t="n">
        <v>4600</v>
      </c>
      <c r="B50" s="28">
        <f>(MIN(A50,$C$18)*$C$13*(1-$C$14)-$C$22)*(1-$C$16)</f>
        <v/>
      </c>
      <c r="C50" s="28">
        <f>(MIN(A50,$D$18)*$D$13*(1-$D$14)-$D$22)*(1-$D$16)</f>
        <v/>
      </c>
      <c r="D50" s="43">
        <f>C50-B50</f>
        <v/>
      </c>
      <c r="E50" s="24">
        <f>IF(AND(D50&gt;=0,D49&lt;0),A50,0)</f>
        <v/>
      </c>
    </row>
    <row r="51">
      <c r="A51" s="38" t="n">
        <v>5000</v>
      </c>
      <c r="B51" s="28">
        <f>(MIN(A51,$C$18)*$C$13*(1-$C$14)-$C$22)*(1-$C$16)</f>
        <v/>
      </c>
      <c r="C51" s="28">
        <f>(MIN(A51,$D$18)*$D$13*(1-$D$14)-$D$22)*(1-$D$16)</f>
        <v/>
      </c>
      <c r="D51" s="43">
        <f>C51-B51</f>
        <v/>
      </c>
      <c r="E51" s="24">
        <f>IF(AND(D51&gt;=0,D50&lt;0),A51,0)</f>
        <v/>
      </c>
    </row>
    <row r="52">
      <c r="A52" s="38" t="n">
        <v>5400</v>
      </c>
      <c r="B52" s="28">
        <f>(MIN(A52,$C$18)*$C$13*(1-$C$14)-$C$22)*(1-$C$16)</f>
        <v/>
      </c>
      <c r="C52" s="28">
        <f>(MIN(A52,$D$18)*$D$13*(1-$D$14)-$D$22)*(1-$D$16)</f>
        <v/>
      </c>
      <c r="D52" s="43">
        <f>C52-B52</f>
        <v/>
      </c>
      <c r="E52" s="24">
        <f>IF(AND(D52&gt;=0,D51&lt;0),A52,0)</f>
        <v/>
      </c>
    </row>
    <row r="53">
      <c r="A53" s="38" t="n">
        <v>5800</v>
      </c>
      <c r="B53" s="28">
        <f>(MIN(A53,$C$18)*$C$13*(1-$C$14)-$C$22)*(1-$C$16)</f>
        <v/>
      </c>
      <c r="C53" s="28">
        <f>(MIN(A53,$D$18)*$D$13*(1-$D$14)-$D$22)*(1-$D$16)</f>
        <v/>
      </c>
      <c r="D53" s="43">
        <f>C53-B53</f>
        <v/>
      </c>
      <c r="E53" s="24">
        <f>IF(AND(D53&gt;=0,D52&lt;0),A53,0)</f>
        <v/>
      </c>
    </row>
    <row r="54">
      <c r="A54" s="38" t="n">
        <v>6200</v>
      </c>
      <c r="B54" s="28">
        <f>(MIN(A54,$C$18)*$C$13*(1-$C$14)-$C$22)*(1-$C$16)</f>
        <v/>
      </c>
      <c r="C54" s="28">
        <f>(MIN(A54,$D$18)*$D$13*(1-$D$14)-$D$22)*(1-$D$16)</f>
        <v/>
      </c>
      <c r="D54" s="43">
        <f>C54-B54</f>
        <v/>
      </c>
      <c r="E54" s="24">
        <f>IF(AND(D54&gt;=0,D53&lt;0),A54,0)</f>
        <v/>
      </c>
    </row>
    <row r="55">
      <c r="A55" s="38" t="n">
        <v>6600</v>
      </c>
      <c r="B55" s="28">
        <f>(MIN(A55,$C$18)*$C$13*(1-$C$14)-$C$22)*(1-$C$16)</f>
        <v/>
      </c>
      <c r="C55" s="28">
        <f>(MIN(A55,$D$18)*$D$13*(1-$D$14)-$D$22)*(1-$D$16)</f>
        <v/>
      </c>
      <c r="D55" s="43">
        <f>C55-B55</f>
        <v/>
      </c>
      <c r="E55" s="24">
        <f>IF(AND(D55&gt;=0,D54&lt;0),A55,0)</f>
        <v/>
      </c>
    </row>
    <row r="56">
      <c r="A56" s="38" t="n">
        <v>7000</v>
      </c>
      <c r="B56" s="28">
        <f>(MIN(A56,$C$18)*$C$13*(1-$C$14)-$C$22)*(1-$C$16)</f>
        <v/>
      </c>
      <c r="C56" s="28">
        <f>(MIN(A56,$D$18)*$D$13*(1-$D$14)-$D$22)*(1-$D$16)</f>
        <v/>
      </c>
      <c r="D56" s="43">
        <f>C56-B56</f>
        <v/>
      </c>
      <c r="E56" s="24">
        <f>IF(AND(D56&gt;=0,D55&lt;0),A56,0)</f>
        <v/>
      </c>
    </row>
    <row r="58">
      <c r="A58" s="22" t="inlineStr">
        <is>
          <t>O TERCEIRO GABINETE COMPENSA A PARTIR DE (consultas/ano)</t>
        </is>
      </c>
      <c r="C58" s="23">
        <f>IF(MAX(E41:E56)=0,"Nunca compensa no intervalo analisado",MAX(E41:E56))</f>
        <v/>
      </c>
    </row>
    <row r="59">
      <c r="A59" s="22" t="inlineStr">
        <is>
          <t>…o que corresponde, no espaço de 2 gabinetes, a uma utilização de</t>
        </is>
      </c>
      <c r="C59" s="25">
        <f>IF(ISNUMBER($C$58),$C$58/$C$18,"n/a")</f>
        <v/>
      </c>
    </row>
    <row r="60">
      <c r="A60" s="8" t="inlineStr">
        <is>
          <t>Consultas por dia úteis implícitas nesse ponto</t>
        </is>
      </c>
      <c r="C60" s="21">
        <f>IF(ISNUMBER($C$58),$C$58/Operacao!$D$7,"n/a")</f>
        <v/>
      </c>
    </row>
    <row r="62" ht="32" customHeight="1">
      <c r="A62" s="20" t="inlineStr">
        <is>
          <t>Leitura: abaixo do ponto de viragem, o terceiro gabinete é renda e obras a mais sem receita adicional — a opção de dois gabinetes ganha por diferença de custo fixo. Acima, a opção de dois perde consultas por falta de espaço e a de três recupera o custo. A pergunta a fazer à cliente não é qual espaço prefere: é quantos doentes por dia espera atender no fim do segundo ano. Resolução do varrimento: 400 consultas por ano. O ponto de viragem real situa-se algures no intervalo anterior ao indicado — refinar por interpolação se a decisão ficar perto do limite. Registado em R1-34.</t>
        </is>
      </c>
    </row>
  </sheetData>
  <mergeCells count="3">
    <mergeCell ref="A2:E2"/>
    <mergeCell ref="A39:E39"/>
    <mergeCell ref="A62:E6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20"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44">
        <f>V1_ENI_Simplificado!$D$33</f>
        <v/>
      </c>
      <c r="E5" s="47" t="n">
        <v>21022.94</v>
      </c>
      <c r="F5" s="29">
        <f>D5-E5</f>
        <v/>
      </c>
      <c r="G5" s="48">
        <f>IF(ABS(F5)&lt;0.5,"OK","DIVERGE")</f>
        <v/>
      </c>
      <c r="H5" s="49" t="n"/>
      <c r="I5" s="49" t="n"/>
    </row>
    <row r="6">
      <c r="A6" s="8" t="inlineStr"/>
      <c r="B6" s="8" t="inlineStr">
        <is>
          <t>Base</t>
        </is>
      </c>
      <c r="C6" s="8" t="inlineStr">
        <is>
          <t>Segurança Social (total)</t>
        </is>
      </c>
      <c r="D6" s="44">
        <f>V1_ENI_Simplificado!$D$23</f>
        <v/>
      </c>
      <c r="E6" s="47" t="n">
        <v>15099.84</v>
      </c>
      <c r="F6" s="29">
        <f>D6-E6</f>
        <v/>
      </c>
      <c r="G6" s="48">
        <f>IF(ABS(F6)&lt;0.5,"OK","DIVERGE")</f>
        <v/>
      </c>
      <c r="H6" s="49" t="n"/>
      <c r="I6" s="49" t="n"/>
    </row>
    <row r="7">
      <c r="A7" s="8" t="inlineStr"/>
      <c r="B7" s="8" t="inlineStr">
        <is>
          <t>Base</t>
        </is>
      </c>
      <c r="C7" s="8" t="inlineStr">
        <is>
          <t>Total impostos e contribuições</t>
        </is>
      </c>
      <c r="D7" s="44">
        <f>V1_ENI_Simplificado!$D$37</f>
        <v/>
      </c>
      <c r="E7" s="47" t="n">
        <v>36122.78</v>
      </c>
      <c r="F7" s="29">
        <f>D7-E7</f>
        <v/>
      </c>
      <c r="G7" s="48">
        <f>IF(ABS(F7)&lt;0.5,"OK","DIVERGE")</f>
        <v/>
      </c>
      <c r="H7" s="49" t="n"/>
      <c r="I7" s="49" t="n"/>
    </row>
    <row r="8">
      <c r="A8" s="8" t="inlineStr"/>
      <c r="B8" s="8" t="inlineStr">
        <is>
          <t>Base</t>
        </is>
      </c>
      <c r="C8" s="8" t="inlineStr">
        <is>
          <t>Líquido para a sócia</t>
        </is>
      </c>
      <c r="D8" s="44">
        <f>V1_ENI_Simplificado!$D$41</f>
        <v/>
      </c>
      <c r="E8" s="47" t="n">
        <v>11513.22</v>
      </c>
      <c r="F8" s="29">
        <f>D8-E8</f>
        <v/>
      </c>
      <c r="G8" s="48">
        <f>IF(ABS(F8)&lt;0.5,"OK","DIVERGE")</f>
        <v/>
      </c>
      <c r="H8" s="49" t="n"/>
      <c r="I8" s="49" t="n"/>
    </row>
    <row r="10">
      <c r="A10" s="8" t="inlineStr">
        <is>
          <t>V2 — ENI cont. organizada</t>
        </is>
      </c>
      <c r="B10" s="8" t="inlineStr">
        <is>
          <t>Base</t>
        </is>
      </c>
      <c r="C10" s="8" t="inlineStr">
        <is>
          <t>IRS imputável à atividade</t>
        </is>
      </c>
      <c r="D10" s="44">
        <f>V2_ENI_ContOrg!$D$22</f>
        <v/>
      </c>
      <c r="E10" s="47" t="n">
        <v>7300.06</v>
      </c>
      <c r="F10" s="29">
        <f>D10-E10</f>
        <v/>
      </c>
      <c r="G10" s="48">
        <f>IF(ABS(F10)&lt;0.5,"OK","DIVERGE")</f>
        <v/>
      </c>
      <c r="H10" s="49" t="n"/>
      <c r="I10" s="49" t="n"/>
    </row>
    <row r="11">
      <c r="A11" s="8" t="inlineStr"/>
      <c r="B11" s="8" t="inlineStr">
        <is>
          <t>Base</t>
        </is>
      </c>
      <c r="C11" s="8" t="inlineStr">
        <is>
          <t>Segurança Social (total)</t>
        </is>
      </c>
      <c r="D11" s="44">
        <f>V2_ENI_ContOrg!$D$13</f>
        <v/>
      </c>
      <c r="E11" s="47" t="n">
        <v>8660.450000000001</v>
      </c>
      <c r="F11" s="29">
        <f>D11-E11</f>
        <v/>
      </c>
      <c r="G11" s="48">
        <f>IF(ABS(F11)&lt;0.5,"OK","DIVERGE")</f>
        <v/>
      </c>
      <c r="H11" s="49" t="n"/>
      <c r="I11" s="49" t="n"/>
    </row>
    <row r="12">
      <c r="A12" s="8" t="inlineStr"/>
      <c r="B12" s="8" t="inlineStr">
        <is>
          <t>Base</t>
        </is>
      </c>
      <c r="C12" s="8" t="inlineStr">
        <is>
          <t>Total impostos e contribuições</t>
        </is>
      </c>
      <c r="D12" s="44">
        <f>V2_ENI_ContOrg!$D$26</f>
        <v/>
      </c>
      <c r="E12" s="47" t="n">
        <v>15960.51</v>
      </c>
      <c r="F12" s="29">
        <f>D12-E12</f>
        <v/>
      </c>
      <c r="G12" s="48">
        <f>IF(ABS(F12)&lt;0.5,"OK","DIVERGE")</f>
        <v/>
      </c>
      <c r="H12" s="49" t="n"/>
      <c r="I12" s="49" t="n"/>
    </row>
    <row r="13">
      <c r="A13" s="8" t="inlineStr"/>
      <c r="B13" s="8" t="inlineStr">
        <is>
          <t>Base</t>
        </is>
      </c>
      <c r="C13" s="8" t="inlineStr">
        <is>
          <t>Líquido para a sócia</t>
        </is>
      </c>
      <c r="D13" s="44">
        <f>V2_ENI_ContOrg!$D$30</f>
        <v/>
      </c>
      <c r="E13" s="47" t="n">
        <v>31675.49</v>
      </c>
      <c r="F13" s="29">
        <f>D13-E13</f>
        <v/>
      </c>
      <c r="G13" s="48">
        <f>IF(ABS(F13)&lt;0.5,"OK","DIVERGE")</f>
        <v/>
      </c>
      <c r="H13" s="49" t="n"/>
      <c r="I13" s="49" t="n"/>
    </row>
    <row r="15">
      <c r="A15" s="8" t="inlineStr">
        <is>
          <t>V3 — Soc. transparente</t>
        </is>
      </c>
      <c r="B15" s="8" t="inlineStr">
        <is>
          <t>Base</t>
        </is>
      </c>
      <c r="C15" s="8" t="inlineStr">
        <is>
          <t>IRS imputável à atividade</t>
        </is>
      </c>
      <c r="D15" s="44">
        <f>V3_Soc_Transparente!$D$28</f>
        <v/>
      </c>
      <c r="E15" s="47" t="n">
        <v>7477.92</v>
      </c>
      <c r="F15" s="29">
        <f>D15-E15</f>
        <v/>
      </c>
      <c r="G15" s="48">
        <f>IF(ABS(F15)&lt;0.5,"OK","DIVERGE")</f>
        <v/>
      </c>
      <c r="H15" s="49" t="n"/>
      <c r="I15" s="49" t="n"/>
    </row>
    <row r="16">
      <c r="A16" s="8" t="inlineStr"/>
      <c r="B16" s="8" t="inlineStr">
        <is>
          <t>Base</t>
        </is>
      </c>
      <c r="C16" s="8" t="inlineStr">
        <is>
          <t>Segurança Social (total)</t>
        </is>
      </c>
      <c r="D16" s="44">
        <f>V3_Soc_Transparente!$D$18+V3_Soc_Transparente!$D$12</f>
        <v/>
      </c>
      <c r="E16" s="47" t="n">
        <v>5838</v>
      </c>
      <c r="F16" s="29">
        <f>D16-E16</f>
        <v/>
      </c>
      <c r="G16" s="48">
        <f>IF(ABS(F16)&lt;0.5,"OK","DIVERGE")</f>
        <v/>
      </c>
      <c r="H16" s="49" t="n"/>
      <c r="I16" s="49" t="n"/>
    </row>
    <row r="17">
      <c r="A17" s="8" t="inlineStr"/>
      <c r="B17" s="8" t="inlineStr">
        <is>
          <t>Base</t>
        </is>
      </c>
      <c r="C17" s="8" t="inlineStr">
        <is>
          <t>Total impostos e contribuições</t>
        </is>
      </c>
      <c r="D17" s="44">
        <f>V3_Soc_Transparente!$D$32</f>
        <v/>
      </c>
      <c r="E17" s="47" t="n">
        <v>14115.92</v>
      </c>
      <c r="F17" s="29">
        <f>D17-E17</f>
        <v/>
      </c>
      <c r="G17" s="48">
        <f>IF(ABS(F17)&lt;0.5,"OK","DIVERGE")</f>
        <v/>
      </c>
      <c r="H17" s="49" t="n"/>
      <c r="I17" s="49" t="n"/>
    </row>
    <row r="18">
      <c r="A18" s="8" t="inlineStr"/>
      <c r="B18" s="8" t="inlineStr">
        <is>
          <t>Base</t>
        </is>
      </c>
      <c r="C18" s="8" t="inlineStr">
        <is>
          <t>Líquido para a sócia</t>
        </is>
      </c>
      <c r="D18" s="44">
        <f>V3_Soc_Transparente!$D$36</f>
        <v/>
      </c>
      <c r="E18" s="47" t="n">
        <v>33520.08</v>
      </c>
      <c r="F18" s="29">
        <f>D18-E18</f>
        <v/>
      </c>
      <c r="G18" s="48">
        <f>IF(ABS(F18)&lt;0.5,"OK","DIVERGE")</f>
        <v/>
      </c>
      <c r="H18" s="49" t="n"/>
      <c r="I18" s="49" t="n"/>
    </row>
    <row r="20">
      <c r="A20" s="8" t="inlineStr">
        <is>
          <t>V4 — Soc. não transparente</t>
        </is>
      </c>
      <c r="B20" s="8" t="inlineStr">
        <is>
          <t>Base</t>
        </is>
      </c>
      <c r="C20" s="8" t="inlineStr">
        <is>
          <t>IRS imputável à atividade</t>
        </is>
      </c>
      <c r="D20" s="44">
        <f>V4_Soc_NaoTransparente!$D$35</f>
        <v/>
      </c>
      <c r="E20" s="47" t="n">
        <v>2382.04</v>
      </c>
      <c r="F20" s="29">
        <f>D20-E20</f>
        <v/>
      </c>
      <c r="G20" s="48">
        <f>IF(ABS(F20)&lt;0.5,"OK","DIVERGE")</f>
        <v/>
      </c>
      <c r="H20" s="49" t="n"/>
      <c r="I20" s="49" t="n"/>
    </row>
    <row r="21">
      <c r="A21" s="8" t="inlineStr"/>
      <c r="B21" s="8" t="inlineStr">
        <is>
          <t>Base</t>
        </is>
      </c>
      <c r="C21" s="8" t="inlineStr">
        <is>
          <t>Segurança Social (total)</t>
        </is>
      </c>
      <c r="D21" s="44">
        <f>V4_Soc_NaoTransparente!$D$37+V4_Soc_NaoTransparente!$D$13</f>
        <v/>
      </c>
      <c r="E21" s="47" t="n">
        <v>5838</v>
      </c>
      <c r="F21" s="29">
        <f>D21-E21</f>
        <v/>
      </c>
      <c r="G21" s="48">
        <f>IF(ABS(F21)&lt;0.5,"OK","DIVERGE")</f>
        <v/>
      </c>
      <c r="H21" s="49" t="n"/>
      <c r="I21" s="49" t="n"/>
    </row>
    <row r="22">
      <c r="A22" s="8" t="inlineStr"/>
      <c r="B22" s="8" t="inlineStr">
        <is>
          <t>Base</t>
        </is>
      </c>
      <c r="C22" s="8" t="inlineStr">
        <is>
          <t>Total impostos e contribuições</t>
        </is>
      </c>
      <c r="D22" s="44">
        <f>V4_Soc_NaoTransparente!$D$40</f>
        <v/>
      </c>
      <c r="E22" s="47" t="n">
        <v>18792.52</v>
      </c>
      <c r="F22" s="29">
        <f>D22-E22</f>
        <v/>
      </c>
      <c r="G22" s="48">
        <f>IF(ABS(F22)&lt;0.5,"OK","DIVERGE")</f>
        <v/>
      </c>
      <c r="H22" s="49" t="n"/>
      <c r="I22" s="49" t="n"/>
    </row>
    <row r="23">
      <c r="A23" s="8" t="inlineStr"/>
      <c r="B23" s="8" t="inlineStr">
        <is>
          <t>Base</t>
        </is>
      </c>
      <c r="C23" s="8" t="inlineStr">
        <is>
          <t>Líquido para a sócia</t>
        </is>
      </c>
      <c r="D23" s="44">
        <f>V4_Soc_NaoTransparente!$D$44</f>
        <v/>
      </c>
      <c r="E23" s="47" t="n">
        <v>24612.36</v>
      </c>
      <c r="F23" s="29">
        <f>D23-E23</f>
        <v/>
      </c>
      <c r="G23" s="48">
        <f>IF(ABS(F23)&lt;0.5,"OK","DIVERGE")</f>
        <v/>
      </c>
      <c r="H23" s="49" t="n"/>
      <c r="I23" s="49" t="n"/>
    </row>
    <row r="25">
      <c r="A25" s="8" t="inlineStr">
        <is>
          <t>V1 — ENI simplificado</t>
        </is>
      </c>
      <c r="B25" s="8" t="inlineStr">
        <is>
          <t>Alto</t>
        </is>
      </c>
      <c r="C25" s="8" t="inlineStr">
        <is>
          <t>IRS imputável à atividade</t>
        </is>
      </c>
      <c r="D25" s="44">
        <f>V1_ENI_Simplificado!$E$33</f>
        <v/>
      </c>
      <c r="E25" s="47" t="n">
        <v>38645.12</v>
      </c>
      <c r="F25" s="29">
        <f>D25-E25</f>
        <v/>
      </c>
      <c r="G25" s="48">
        <f>IF(ABS(F25)&lt;0.5,"OK","DIVERGE")</f>
        <v/>
      </c>
      <c r="H25" s="49" t="n"/>
      <c r="I25" s="49" t="n"/>
    </row>
    <row r="26">
      <c r="A26" s="8" t="inlineStr"/>
      <c r="B26" s="8" t="inlineStr">
        <is>
          <t>Alto</t>
        </is>
      </c>
      <c r="C26" s="8" t="inlineStr">
        <is>
          <t>Segurança Social (total)</t>
        </is>
      </c>
      <c r="D26" s="44">
        <f>V1_ENI_Simplificado!$E$23</f>
        <v/>
      </c>
      <c r="E26" s="47" t="n">
        <v>16101.36</v>
      </c>
      <c r="F26" s="29">
        <f>D26-E26</f>
        <v/>
      </c>
      <c r="G26" s="48">
        <f>IF(ABS(F26)&lt;0.5,"OK","DIVERGE")</f>
        <v/>
      </c>
      <c r="H26" s="49" t="n"/>
      <c r="I26" s="49" t="n"/>
    </row>
    <row r="27">
      <c r="A27" s="8" t="inlineStr"/>
      <c r="B27" s="8" t="inlineStr">
        <is>
          <t>Alto</t>
        </is>
      </c>
      <c r="C27" s="8" t="inlineStr">
        <is>
          <t>Total impostos e contribuições</t>
        </is>
      </c>
      <c r="D27" s="44">
        <f>V1_ENI_Simplificado!$E$37</f>
        <v/>
      </c>
      <c r="E27" s="47" t="n">
        <v>54746.48</v>
      </c>
      <c r="F27" s="29">
        <f>D27-E27</f>
        <v/>
      </c>
      <c r="G27" s="48">
        <f>IF(ABS(F27)&lt;0.5,"OK","DIVERGE")</f>
        <v/>
      </c>
      <c r="H27" s="49" t="n"/>
      <c r="I27" s="49" t="n"/>
    </row>
    <row r="28">
      <c r="A28" s="8" t="inlineStr"/>
      <c r="B28" s="8" t="inlineStr">
        <is>
          <t>Alto</t>
        </is>
      </c>
      <c r="C28" s="8" t="inlineStr">
        <is>
          <t>Líquido para a sócia</t>
        </is>
      </c>
      <c r="D28" s="44">
        <f>V1_ENI_Simplificado!$E$41</f>
        <v/>
      </c>
      <c r="E28" s="47" t="n">
        <v>11088.52</v>
      </c>
      <c r="F28" s="29">
        <f>D28-E28</f>
        <v/>
      </c>
      <c r="G28" s="48">
        <f>IF(ABS(F28)&lt;0.5,"OK","DIVERGE")</f>
        <v/>
      </c>
      <c r="H28" s="49" t="n"/>
      <c r="I28" s="49" t="n"/>
    </row>
    <row r="30">
      <c r="A30" s="22" t="inlineStr">
        <is>
          <t>Estado global</t>
        </is>
      </c>
      <c r="D30" s="26">
        <f>IF(COUNTIF($G$6:$G$28,"DIVERGE")=0,"TODAS AS VERIFICAÇÕES OK","HÁ DIVERGÊNCIAS")</f>
        <v/>
      </c>
      <c r="E30" s="39" t="n"/>
      <c r="F30" s="39" t="n"/>
      <c r="G30" s="40" t="n"/>
    </row>
    <row r="32" ht="46" customHeight="1">
      <c r="A32" s="20"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sheetData>
  <mergeCells count="3">
    <mergeCell ref="D30:G30"/>
    <mergeCell ref="A32:I32"/>
    <mergeCell ref="A2:I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5" customWidth="1" min="3" max="3"/>
    <col width="15" customWidth="1" min="4" max="4"/>
    <col width="15" customWidth="1" min="5" max="5"/>
    <col width="54" customWidth="1" min="6" max="6"/>
  </cols>
  <sheetData>
    <row r="1">
      <c r="A1" s="1" t="inlineStr">
        <is>
          <t>M1 — Requalificação laboral: passivo contingente</t>
        </is>
      </c>
    </row>
    <row r="2" ht="52" customHeight="1">
      <c r="A2" s="20" t="inlineStr">
        <is>
          <t>A ata identificou o risco e ninguém lhe pôs um número. Este é o número. Se a relação com os fisioterapeutas for requalificada como contrato de trabalho, a clínica passa a dever contribuições retroativas sobre tudo o que lhes pagou, com juros e coima. É o único risco deste projeto capaz de destruir o plano inteiro de uma vez.</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Exposição</t>
        </is>
      </c>
      <c r="B5" s="7" t="n"/>
      <c r="C5" s="7" t="n"/>
      <c r="D5" s="7" t="n"/>
      <c r="E5" s="7" t="n"/>
      <c r="F5" s="7" t="n"/>
    </row>
    <row r="6">
      <c r="A6" s="8" t="inlineStr">
        <is>
          <t>Honorários anuais pagos aos colaboradores</t>
        </is>
      </c>
      <c r="B6" s="9" t="inlineStr">
        <is>
          <t>HONOR</t>
        </is>
      </c>
      <c r="C6" s="35">
        <f>Inputs!$C$44</f>
        <v/>
      </c>
      <c r="D6" s="35">
        <f>Inputs!$D$44</f>
        <v/>
      </c>
      <c r="E6" s="35">
        <f>Inputs!$E$44</f>
        <v/>
      </c>
      <c r="F6" s="17" t="inlineStr">
        <is>
          <t>Só existe exposição no modelo de prestação de serviços. Na cedência de sala o fluxo é o inverso e o risco é outro — o de a cedência ser requalificada como prestação de serviços.</t>
        </is>
      </c>
    </row>
    <row r="7">
      <c r="A7" s="8" t="inlineStr">
        <is>
          <t>Anos de exposição retroativa</t>
        </is>
      </c>
      <c r="B7" s="9" t="inlineStr">
        <is>
          <t>ANOS</t>
        </is>
      </c>
      <c r="C7" s="50">
        <f>Parametros!$C$16</f>
        <v/>
      </c>
      <c r="D7" s="50">
        <f>Parametros!$C$16</f>
        <v/>
      </c>
      <c r="E7" s="50">
        <f>Parametros!$C$16</f>
        <v/>
      </c>
      <c r="F7" s="17" t="inlineStr">
        <is>
          <t>Prazo de prescrição das contribuições. A inspeção não olha só para o ano corrente.</t>
        </is>
      </c>
    </row>
    <row r="8">
      <c r="A8" s="22" t="inlineStr">
        <is>
          <t>Base de incidência retroativa</t>
        </is>
      </c>
      <c r="B8" s="9" t="inlineStr">
        <is>
          <t>BASE</t>
        </is>
      </c>
      <c r="C8" s="27">
        <f>$C$6*$C$7</f>
        <v/>
      </c>
      <c r="D8" s="27">
        <f>$D$6*$D$7</f>
        <v/>
      </c>
      <c r="E8" s="27">
        <f>$E$6*$E$7</f>
        <v/>
      </c>
      <c r="F8" s="17" t="inlineStr">
        <is>
          <t>Assume honorários constantes ao longo do período. Se crescerem, a exposição cresce com eles.</t>
        </is>
      </c>
    </row>
    <row r="9">
      <c r="A9" s="2" t="inlineStr">
        <is>
          <t>Contribuições devidas em caso de requalificação</t>
        </is>
      </c>
      <c r="B9" s="7" t="n"/>
      <c r="C9" s="7" t="n"/>
      <c r="D9" s="7" t="n"/>
      <c r="E9" s="7" t="n"/>
      <c r="F9" s="7" t="n"/>
    </row>
    <row r="10">
      <c r="A10" s="8" t="inlineStr">
        <is>
          <t>Contribuições a cargo da entidade</t>
        </is>
      </c>
      <c r="B10" s="9" t="inlineStr">
        <is>
          <t>TSU_E</t>
        </is>
      </c>
      <c r="C10" s="28">
        <f>$C$8*Parametros!$C$14</f>
        <v/>
      </c>
      <c r="D10" s="28">
        <f>$D$8*Parametros!$C$14</f>
        <v/>
      </c>
      <c r="E10" s="28">
        <f>$E$8*Parametros!$C$14</f>
        <v/>
      </c>
      <c r="F10" s="17" t="inlineStr">
        <is>
          <t>Art. 53.º Cód. Contributivo. É a parcela que a clínica nunca pagou e passa a dever.</t>
        </is>
      </c>
    </row>
    <row r="11">
      <c r="A11" s="8" t="inlineStr">
        <is>
          <t>Contribuições a cargo do trabalhador, não retidas</t>
        </is>
      </c>
      <c r="B11" s="9" t="inlineStr">
        <is>
          <t>TSU_T</t>
        </is>
      </c>
      <c r="C11" s="28">
        <f>$C$8*Parametros!$C$15</f>
        <v/>
      </c>
      <c r="D11" s="28">
        <f>$D$8*Parametros!$C$15</f>
        <v/>
      </c>
      <c r="E11" s="28">
        <f>$E$8*Parametros!$C$15</f>
        <v/>
      </c>
      <c r="F11" s="17" t="inlineStr">
        <is>
          <t>A entidade é responsável pela entrega. Na prática, é dívida da clínica.</t>
        </is>
      </c>
    </row>
    <row r="12">
      <c r="A12" s="8" t="inlineStr">
        <is>
          <t>Juros de mora estimados</t>
        </is>
      </c>
      <c r="B12" s="9" t="inlineStr">
        <is>
          <t>JUROS</t>
        </is>
      </c>
      <c r="C12" s="28">
        <f>($C$10+$C$11)*Parametros!$C$17*$C$7/2</f>
        <v/>
      </c>
      <c r="D12" s="28">
        <f>($D$10+$D$11)*Parametros!$C$17*$D$7/2</f>
        <v/>
      </c>
      <c r="E12" s="28">
        <f>($E$10+$E$11)*Parametros!$C$17*$E$7/2</f>
        <v/>
      </c>
      <c r="F12" s="17" t="inlineStr">
        <is>
          <t>Aproximação: metade do período médio de mora sobre o total em dívida. Ordem de grandeza, não liquidação.</t>
        </is>
      </c>
    </row>
    <row r="13">
      <c r="A13" s="8" t="inlineStr">
        <is>
          <t>Coima estimada</t>
        </is>
      </c>
      <c r="B13" s="9" t="inlineStr">
        <is>
          <t>COIMA</t>
        </is>
      </c>
      <c r="C13" s="28">
        <f>$C$10*0.5</f>
        <v/>
      </c>
      <c r="D13" s="28">
        <f>$D$10*0.5</f>
        <v/>
      </c>
      <c r="E13" s="28">
        <f>$E$10*0.5</f>
        <v/>
      </c>
      <c r="F13" s="17" t="inlineStr">
        <is>
          <t>ESTIMATIVA GROSSEIRA, a 50% das contribuições da entidade. A moldura das contraordenações por falta de comunicação de admissão e de pagamento de contribuições tem de ser confirmada pela Fiscalidade ou por advogado. Ver R1-38.</t>
        </is>
      </c>
    </row>
    <row r="14">
      <c r="A14" s="22" t="inlineStr">
        <is>
          <t>PASSIVO CONTINGENTE TOTAL</t>
        </is>
      </c>
      <c r="B14" s="9" t="inlineStr">
        <is>
          <t>PASSIVO</t>
        </is>
      </c>
      <c r="C14" s="27">
        <f>$C$10+$C$11+$C$12+$C$13</f>
        <v/>
      </c>
      <c r="D14" s="27">
        <f>$D$10+$D$11+$D$12+$D$13</f>
        <v/>
      </c>
      <c r="E14" s="27">
        <f>$E$10+$E$11+$E$12+$E$13</f>
        <v/>
      </c>
      <c r="F14" s="17" t="inlineStr"/>
    </row>
    <row r="15">
      <c r="A15" s="2" t="inlineStr">
        <is>
          <t>Dimensão do risco</t>
        </is>
      </c>
      <c r="B15" s="7" t="n"/>
      <c r="C15" s="7" t="n"/>
      <c r="D15" s="7" t="n"/>
      <c r="E15" s="7" t="n"/>
      <c r="F15" s="7" t="n"/>
    </row>
    <row r="16">
      <c r="A16" s="8" t="inlineStr">
        <is>
          <t>Resultado líquido anual da via de referência (via 2)</t>
        </is>
      </c>
      <c r="B16" s="9" t="inlineStr">
        <is>
          <t>LIQ_REF</t>
        </is>
      </c>
      <c r="C16" s="35">
        <f>V2_ENI_ContOrg!$C$30</f>
        <v/>
      </c>
      <c r="D16" s="35">
        <f>V2_ENI_ContOrg!$D$30</f>
        <v/>
      </c>
      <c r="E16" s="35">
        <f>V2_ENI_ContOrg!$E$30</f>
        <v/>
      </c>
      <c r="F16" s="17" t="inlineStr"/>
    </row>
    <row r="17">
      <c r="A17" s="22" t="inlineStr">
        <is>
          <t>ANOS DE RESULTADO LÍQUIDO QUE O PASSIVO CONSOME</t>
        </is>
      </c>
      <c r="B17" s="9" t="inlineStr">
        <is>
          <t>ANOS_RES</t>
        </is>
      </c>
      <c r="C17" s="46">
        <f>IF($C$16&lt;=0,"n/a",$C$14/$C$16)</f>
        <v/>
      </c>
      <c r="D17" s="46">
        <f>IF($D$16&lt;=0,"n/a",$D$14/$D$16)</f>
        <v/>
      </c>
      <c r="E17" s="46">
        <f>IF($E$16&lt;=0,"n/a",$E$14/$E$16)</f>
        <v/>
      </c>
      <c r="F17" s="17" t="inlineStr">
        <is>
          <t>É esta a frase a dizer à cliente, e não a percentagem: quantos anos de trabalho pago desaparecem se isto correr mal.</t>
        </is>
      </c>
    </row>
    <row r="18">
      <c r="A18" s="8" t="inlineStr">
        <is>
          <t>Passivo em % do investimento inicial</t>
        </is>
      </c>
      <c r="B18" s="9" t="inlineStr">
        <is>
          <t>VS_INV</t>
        </is>
      </c>
      <c r="C18" s="37">
        <f>IF((Inputs!$C$27+Inputs!$C$28+Inputs!$C$29+Inputs!$C$30)&lt;=0,0,$C$14/(Inputs!$C$27+Inputs!$C$28+Inputs!$C$29+Inputs!$C$30))</f>
        <v/>
      </c>
      <c r="D18" s="37">
        <f>IF((Inputs!$D$27+Inputs!$D$28+Inputs!$D$29+Inputs!$D$30)&lt;=0,0,$D$14/(Inputs!$D$27+Inputs!$D$28+Inputs!$D$29+Inputs!$D$30))</f>
        <v/>
      </c>
      <c r="E18" s="37">
        <f>IF((Inputs!$E$27+Inputs!$E$28+Inputs!$E$29+Inputs!$E$30)&lt;=0,0,$E$14/(Inputs!$E$27+Inputs!$E$28+Inputs!$E$29+Inputs!$E$30))</f>
        <v/>
      </c>
      <c r="F18" s="17" t="inlineStr"/>
    </row>
    <row r="20">
      <c r="A20" s="2" t="inlineStr">
        <is>
          <t>Indícios de laboralidade — art. 12.º n.º 1 do Código do Trabalho</t>
        </is>
      </c>
      <c r="B20" s="7" t="n"/>
      <c r="C20" s="7" t="n"/>
      <c r="D20" s="7" t="n"/>
      <c r="E20" s="7" t="n"/>
      <c r="F20" s="7" t="n"/>
    </row>
    <row r="21">
      <c r="A21" s="20" t="inlineStr">
        <is>
          <t>A presunção de contrato de trabalho opera quando se verifiquem ALGUMAS destas características. Não é preciso que se verifiquem todas. Marcar 1 onde se aplica.</t>
        </is>
      </c>
    </row>
    <row r="22" ht="26" customHeight="1">
      <c r="A22" s="8" t="inlineStr">
        <is>
          <t>a) O local de trabalho pertence ao beneficiário da atividade ou é por ele determinado</t>
        </is>
      </c>
      <c r="C22" s="15" t="n">
        <v>1</v>
      </c>
      <c r="F22" s="17" t="inlineStr">
        <is>
          <t>ESTRUTURALMENTE PRESENTE numa clínica. O fisioterapeuta trabalha no espaço da Dra. Júlia. Não é evitável.</t>
        </is>
      </c>
    </row>
    <row r="23" ht="26" customHeight="1">
      <c r="A23" s="8" t="inlineStr">
        <is>
          <t>b) Os equipamentos e instrumentos de trabalho pertencem ao beneficiário da atividade</t>
        </is>
      </c>
      <c r="C23" s="15" t="n">
        <v>1</v>
      </c>
      <c r="F23" s="17" t="inlineStr">
        <is>
          <t>ESTRUTURALMENTE PRESENTE se o equipamento clínico for da clínica. Evitável apenas se o profissional usar material próprio, o que raramente acontece.</t>
        </is>
      </c>
    </row>
    <row r="24" ht="26" customHeight="1">
      <c r="A24" s="8" t="inlineStr">
        <is>
          <t>c) O prestador observa horas de início e de termo determinadas pelo beneficiário</t>
        </is>
      </c>
      <c r="C24" s="15" t="n">
        <v>0</v>
      </c>
      <c r="F24" s="17" t="inlineStr">
        <is>
          <t>EVITÁVEL, e é a decisão mais importante. Se a marcação de consultas for feita pela clínica com horário imposto, este indício verifica-se.</t>
        </is>
      </c>
    </row>
    <row r="25" ht="26" customHeight="1">
      <c r="A25" s="8" t="inlineStr">
        <is>
          <t>d) É paga, com certa periodicidade, uma quantia certa ao prestador</t>
        </is>
      </c>
      <c r="C25" s="15" t="n">
        <v>0</v>
      </c>
      <c r="F25" s="17" t="inlineStr">
        <is>
          <t>EVITÁVEL. Honorários variáveis em função das sessões efetivamente realizadas afastam-no; um valor fixo mensal verifica-o.</t>
        </is>
      </c>
    </row>
    <row r="26" ht="26" customHeight="1">
      <c r="A26" s="8" t="inlineStr">
        <is>
          <t>e) O prestador desempenha funções de direção ou chefia na estrutura da empresa</t>
        </is>
      </c>
      <c r="C26" s="15" t="n">
        <v>0</v>
      </c>
      <c r="F26" s="17" t="inlineStr">
        <is>
          <t>Improvável nesta fase.</t>
        </is>
      </c>
    </row>
    <row r="28">
      <c r="A28" s="22" t="inlineStr">
        <is>
          <t>N.º de indícios verificados (de 5)</t>
        </is>
      </c>
      <c r="C28" s="23">
        <f>SUM($C$22:$C$26)</f>
        <v/>
      </c>
    </row>
    <row r="29">
      <c r="A29" s="22" t="inlineStr">
        <is>
          <t>LEITURA</t>
        </is>
      </c>
      <c r="C29" s="51">
        <f>IF($C$28&gt;=3,"RISCO ELEVADO — presunção provável",IF($C$28=2,"RISCO ESTRUTURAL — os dois indícios inevitáveis já se verificam","RISCO CONTIDO"))</f>
        <v/>
      </c>
      <c r="D29" s="39" t="n"/>
      <c r="E29" s="40" t="n"/>
    </row>
    <row r="31" ht="92" customHeight="1">
      <c r="A31" s="20" t="inlineStr">
        <is>
          <t>O que este quadro mostra, e é o essencial: numa clínica, os indícios a) e b) verificam-se desde o primeiro dia e não são evitáveis — o profissional trabalha no espaço e com o equipamento da clínica. A margem de manobra está inteiramente em c) e d), ou seja, no horário e na forma de remuneração. É aí que a blindagem contratual e, sobretudo, a prática diária têm de trabalhar. Um contrato bem redigido que seja desmentido pelo funcionamento real não protege ninguém.
A presunção é ilidível, mas inverte o ónus da prova: passa a caber à clínica demonstrar que não há contrato de trabalho. A redação dos contratos e o parecer laboral estão fora do nosso âmbito; identificar e quantificar o risco, não.</t>
        </is>
      </c>
    </row>
  </sheetData>
  <mergeCells count="4">
    <mergeCell ref="A31:F31"/>
    <mergeCell ref="A2:F2"/>
    <mergeCell ref="A21:F21"/>
    <mergeCell ref="C29:E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52" customWidth="1" min="1" max="1"/>
    <col width="14" customWidth="1" min="2" max="2"/>
    <col width="12" customWidth="1" min="3" max="3"/>
    <col width="56" customWidth="1" min="4" max="4"/>
    <col width="22" customWidth="1" min="5" max="5"/>
  </cols>
  <sheetData>
    <row r="1">
      <c r="A1" s="1" t="inlineStr">
        <is>
          <t>M1 — Alertas</t>
        </is>
      </c>
    </row>
    <row r="2" ht="46" customHeight="1">
      <c r="A2" s="20" t="inlineStr">
        <is>
          <t>Um modelo pode ter a fórmula certa, a fiscalidade certa e um pressuposto empresarial errado. Esta folha existe para apanhar o terceiro caso. Enquanto houver um alerta ATIVO com consequência bloqueante, nenhum número deste ficheiro pode ser citado no relatório, no deck ou perante a cliente.</t>
        </is>
      </c>
    </row>
    <row r="4">
      <c r="A4" s="2" t="inlineStr">
        <is>
          <t>Interruptores manuais — a equipa liga e desliga</t>
        </is>
      </c>
      <c r="B4" s="7" t="n"/>
      <c r="C4" s="7" t="n"/>
      <c r="D4" s="7" t="n"/>
      <c r="E4" s="7" t="n"/>
    </row>
    <row r="5">
      <c r="A5" s="8" t="inlineStr">
        <is>
          <t>Atividade do cônjuge confirmada fora da tabela do art. 151.º CIRS? (1 = sim / 0 = não)</t>
        </is>
      </c>
      <c r="B5" s="15" t="n">
        <v>0</v>
      </c>
      <c r="D5" s="17" t="inlineStr">
        <is>
          <t>R1-14 e N1-01. Enquanto for 0, a via 4 não é apresentável.</t>
        </is>
      </c>
    </row>
    <row r="6">
      <c r="A6" s="8" t="inlineStr">
        <is>
          <t>Qualificação da cedência de sala fixada pela Fiscalidade? (1 = sim / 0 = não)</t>
        </is>
      </c>
      <c r="B6" s="15" t="n">
        <v>0</v>
      </c>
      <c r="D6" s="17" t="inlineStr">
        <is>
          <t>N1-04. Enquanto for 0, o modelo 2 tem consequências fiscais assumidas, não determinadas.</t>
        </is>
      </c>
    </row>
    <row r="7">
      <c r="A7" s="8" t="inlineStr">
        <is>
          <t>Financiamento do investimento identificado? (1 = sim / 0 = não)</t>
        </is>
      </c>
      <c r="B7" s="15" t="n">
        <v>0</v>
      </c>
      <c r="D7" s="17" t="inlineStr">
        <is>
          <t>Obras, equipamento e IVA irrecuperável têm de sair de algum lado.</t>
        </is>
      </c>
    </row>
    <row r="9" ht="28" customHeight="1">
      <c r="A9" s="6" t="inlineStr">
        <is>
          <t>Alerta</t>
        </is>
      </c>
      <c r="B9" s="6" t="inlineStr">
        <is>
          <t>Valor avaliado</t>
        </is>
      </c>
      <c r="C9" s="6" t="inlineStr">
        <is>
          <t>Estado</t>
        </is>
      </c>
      <c r="D9" s="6" t="inlineStr">
        <is>
          <t>Consequência se ativo</t>
        </is>
      </c>
      <c r="E9" s="6" t="inlineStr">
        <is>
          <t>Referência</t>
        </is>
      </c>
    </row>
    <row r="10" ht="30" customHeight="1">
      <c r="A10" s="8" t="inlineStr">
        <is>
          <t>Parâmetros fiscais por validar para 2026</t>
        </is>
      </c>
      <c r="B10" s="50">
        <f>SUM(Parametros!$F$6:$F$45)</f>
        <v/>
      </c>
      <c r="C10" s="48">
        <f>IF(B10&gt;0,"ATIVO","—")</f>
        <v/>
      </c>
      <c r="D10" s="17" t="inlineStr">
        <is>
          <t>BLOQUEANTE. Os números podem estar certos na aritmética e errados na lei. Nenhum valor sai do ficheiro enquanto este alerta estiver ativo.</t>
        </is>
      </c>
      <c r="E10" s="17" t="inlineStr">
        <is>
          <t>R1, secção C · P0 da spec</t>
        </is>
      </c>
    </row>
    <row r="11" ht="30" customHeight="1">
      <c r="A11" s="8" t="inlineStr">
        <is>
          <t>Inputs da cliente por confirmar</t>
        </is>
      </c>
      <c r="B11" s="50">
        <f>SUM(Inputs!$J$6:$J$40)</f>
        <v/>
      </c>
      <c r="C11" s="48">
        <f>IF(B11&gt;0,"ATIVO","—")</f>
        <v/>
      </c>
      <c r="D11" s="17" t="inlineStr">
        <is>
          <t>BLOQUEANTE para o relatório. Os valores em uso são placeholders de teste do motor.</t>
        </is>
      </c>
      <c r="E11" s="17" t="inlineStr">
        <is>
          <t>R1, secção A · brief, secção 4</t>
        </is>
      </c>
    </row>
    <row r="12" ht="30" customHeight="1">
      <c r="A12" s="8" t="inlineStr">
        <is>
          <t>Utilização dos gabinetes acima de 100%</t>
        </is>
      </c>
      <c r="B12" s="36">
        <f>Operacao!$D$26</f>
        <v/>
      </c>
      <c r="C12" s="48">
        <f>IF(B12&gt;1,"ATIVO","—")</f>
        <v/>
      </c>
      <c r="D12" s="17" t="inlineStr">
        <is>
          <t>A projeção é impossível: não há gabinetes para as consultas previstas. Corrigir a projeção ou o número de gabinetes antes de qualquer outra coisa.</t>
        </is>
      </c>
      <c r="E12" s="17" t="inlineStr">
        <is>
          <t>Folha Operacao</t>
        </is>
      </c>
    </row>
    <row r="13" ht="30" customHeight="1">
      <c r="A13" s="8" t="inlineStr">
        <is>
          <t>Utilização dos gabinetes acima de 85%</t>
        </is>
      </c>
      <c r="B13" s="36">
        <f>Operacao!$D$26</f>
        <v/>
      </c>
      <c r="C13" s="48">
        <f>IF(AND(B13&gt;0.85,B13&lt;=1),"ATIVO","—")</f>
        <v/>
      </c>
      <c r="D13" s="17" t="inlineStr">
        <is>
          <t>Operacionalmente muito exigente: sem folga para faltas, férias ou variação de procura.</t>
        </is>
      </c>
      <c r="E13" s="17" t="inlineStr">
        <is>
          <t>Folha Operacao</t>
        </is>
      </c>
    </row>
    <row r="14" ht="30" customHeight="1">
      <c r="A14" s="8" t="inlineStr">
        <is>
          <t>Utilização subaproveitada, abaixo de 30%</t>
        </is>
      </c>
      <c r="B14" s="36">
        <f>Operacao!$D$26</f>
        <v/>
      </c>
      <c r="C14" s="48">
        <f>IF(B14&lt;0.3,"ATIVO","—")</f>
        <v/>
      </c>
      <c r="D14" s="17" t="inlineStr">
        <is>
          <t>O espaço está sobredimensionado para a procura projetada. Rever a opção de espaço.</t>
        </is>
      </c>
      <c r="E14" s="17" t="inlineStr">
        <is>
          <t>Folhas Operacao e Espaco</t>
        </is>
      </c>
    </row>
    <row r="15" ht="30" customHeight="1">
      <c r="A15" s="8" t="inlineStr">
        <is>
          <t>Receita projetada abaixo do break-even operacional</t>
        </is>
      </c>
      <c r="B15" s="36">
        <f>BreakEven!$D$13</f>
        <v/>
      </c>
      <c r="C15" s="48">
        <f>IF(B15&lt;0,"ATIVO","—")</f>
        <v/>
      </c>
      <c r="D15" s="17" t="inlineStr">
        <is>
          <t>A clínica não cobre os custos fixos com a faturação projetada. A discussão de estrutura fiscal é secundária face a isto.</t>
        </is>
      </c>
      <c r="E15" s="17" t="inlineStr">
        <is>
          <t>Folha BreakEven</t>
        </is>
      </c>
    </row>
    <row r="16" ht="30" customHeight="1">
      <c r="A16" s="8" t="inlineStr">
        <is>
          <t>Margem de contribuição nula ou negativa</t>
        </is>
      </c>
      <c r="B16" s="36">
        <f>BreakEven!$D$9</f>
        <v/>
      </c>
      <c r="C16" s="48">
        <f>IF(B16&lt;=0,"ATIVO","—")</f>
        <v/>
      </c>
      <c r="D16" s="17" t="inlineStr">
        <is>
          <t>Cada consulta adicional destrói valor. Rever a % de honorários ou o preço.</t>
        </is>
      </c>
      <c r="E16" s="17" t="inlineStr">
        <is>
          <t>Folha BreakEven</t>
        </is>
      </c>
    </row>
    <row r="17" ht="30" customHeight="1">
      <c r="A17" s="8" t="inlineStr">
        <is>
          <t>Utilização necessária para o break-even acima de 100%</t>
        </is>
      </c>
      <c r="B17" s="36">
        <f>BreakEven!$D$16</f>
        <v/>
      </c>
      <c r="C17" s="48">
        <f>IF(B17&gt;1,"ATIVO","—")</f>
        <v/>
      </c>
      <c r="D17" s="17" t="inlineStr">
        <is>
          <t>O espaço não consegue cobrir os próprios custos fixos nem a lotação máxima. O espaço está errado, não a estrutura.</t>
        </is>
      </c>
      <c r="E17" s="17" t="inlineStr">
        <is>
          <t>Folhas BreakEven e Espaco</t>
        </is>
      </c>
    </row>
    <row r="18" ht="30" customHeight="1">
      <c r="A18" s="8" t="inlineStr">
        <is>
          <t>Premissa da atividade do cônjuge por verificar</t>
        </is>
      </c>
      <c r="B18" s="50">
        <f>1-$B$5</f>
        <v/>
      </c>
      <c r="C18" s="48">
        <f>IF(B18=1,"ATIVO","—")</f>
        <v/>
      </c>
      <c r="D18" s="17" t="inlineStr">
        <is>
          <t>BLOQUEANTE para a via 4. Se a atividade do cônjuge constar da tabela do art. 151.º CIRS, a entrada dele não afasta a transparência com percentagem nenhuma.</t>
        </is>
      </c>
      <c r="E18" s="17" t="inlineStr">
        <is>
          <t>R1-14 · N1, secção 4.1</t>
        </is>
      </c>
    </row>
    <row r="19" ht="30" customHeight="1">
      <c r="A19" s="8" t="inlineStr">
        <is>
          <t>Qualificação da cedência de sala por fixar</t>
        </is>
      </c>
      <c r="B19" s="50">
        <f>1-$B$6</f>
        <v/>
      </c>
      <c r="C19" s="48">
        <f>IF(B19=1,"ATIVO","—")</f>
        <v/>
      </c>
      <c r="D19" s="17" t="inlineStr">
        <is>
          <t>O modelo 2 corre com consequências fiscais assumidas. A qualificação depende da configuração contratual e operacional concreta, não do nome do modelo.</t>
        </is>
      </c>
      <c r="E19" s="17" t="inlineStr">
        <is>
          <t>N1-04 · R1-31</t>
        </is>
      </c>
    </row>
    <row r="20" ht="30" customHeight="1">
      <c r="A20" s="8" t="inlineStr">
        <is>
          <t>Investimento sem financiamento identificado</t>
        </is>
      </c>
      <c r="B20" s="50">
        <f>1-$B$7</f>
        <v/>
      </c>
      <c r="C20" s="48">
        <f>IF(B20=1,"ATIVO","—")</f>
        <v/>
      </c>
      <c r="D20" s="17" t="inlineStr">
        <is>
          <t>O plano assume que o investimento é feito. Se não houver origem de fundos, o cenário não é executável.</t>
        </is>
      </c>
      <c r="E20" s="17" t="inlineStr">
        <is>
          <t>Folha Espaco · P1, fase 3</t>
        </is>
      </c>
    </row>
    <row r="21" ht="30" customHeight="1">
      <c r="A21" s="8" t="inlineStr">
        <is>
          <t>IVA dependente de pro rata ou afetação real</t>
        </is>
      </c>
      <c r="B21" s="35">
        <f>Inputs!$D$47</f>
        <v/>
      </c>
      <c r="C21" s="48">
        <f>IF(B21&gt;0,"ATIVO","—")</f>
        <v/>
      </c>
      <c r="D21" s="17" t="inlineStr">
        <is>
          <t>A dedução de IVA deixa de ser zero e passa a depender de um método e de segregação documental permanente. Confirmar o método antes de contar com o valor.</t>
        </is>
      </c>
      <c r="E21" s="17" t="inlineStr">
        <is>
          <t>Folha IVA · N1, secção 8</t>
        </is>
      </c>
    </row>
    <row r="22" ht="30" customHeight="1">
      <c r="A22" s="8" t="inlineStr">
        <is>
          <t>Recálculo independente com divergências</t>
        </is>
      </c>
      <c r="B22" s="50">
        <f>IF(Validacao!$D$30="TODAS AS VERIFICAÇÕES OK",0,1)</f>
        <v/>
      </c>
      <c r="C22" s="48">
        <f>IF(B22=1,"ATIVO","—")</f>
        <v/>
      </c>
      <c r="D22" s="17" t="inlineStr">
        <is>
          <t>BLOQUEANTE. As duas implementações do modelo discordam. Uma delas está errada.</t>
        </is>
      </c>
      <c r="E22" s="17" t="inlineStr">
        <is>
          <t>Folha Validacao</t>
        </is>
      </c>
    </row>
    <row r="24">
      <c r="A24" s="22" t="inlineStr">
        <is>
          <t>TOTAL DE ALERTAS ATIVOS</t>
        </is>
      </c>
      <c r="B24" s="23">
        <f>COUNTIF($C$10:$C$22,"ATIVO")</f>
        <v/>
      </c>
    </row>
    <row r="25">
      <c r="A25" s="22" t="inlineStr">
        <is>
          <t>O FICHEIRO PODE PRODUZIR NÚMEROS CITÁVEIS?</t>
        </is>
      </c>
      <c r="B25" s="51">
        <f>IF(COUNTIF($C$10:$C$22,"ATIVO")=0,"SIM","NÃO — resolver os alertas ativos")</f>
        <v/>
      </c>
      <c r="C25" s="39" t="n"/>
      <c r="D25" s="40" t="n"/>
    </row>
    <row r="27" ht="32" customHeight="1">
      <c r="A27" s="20" t="inlineStr">
        <is>
          <t>Esta folha não substitui a Validacao. A Validacao verifica que as duas implementações do modelo concordam; esta verifica que o resultado faz sentido como negócio. São perguntas diferentes e um modelo pode passar numa e falhar na outra.</t>
        </is>
      </c>
    </row>
  </sheetData>
  <mergeCells count="3">
    <mergeCell ref="A2:E2"/>
    <mergeCell ref="B25:D25"/>
    <mergeCell ref="A27:E2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13" customWidth="1" min="2" max="2"/>
    <col width="15" customWidth="1" min="3" max="3"/>
    <col width="15" customWidth="1" min="4" max="4"/>
    <col width="15" customWidth="1" min="5" max="5"/>
    <col width="56" customWidth="1" min="6" max="6"/>
  </cols>
  <sheetData>
    <row r="1">
      <c r="A1" s="1" t="inlineStr">
        <is>
          <t>M1 — Entrada do cônjuge: custo de complexidade</t>
        </is>
      </c>
    </row>
    <row r="2" ht="46" customHeight="1">
      <c r="A2" s="20" t="inlineStr">
        <is>
          <t>A hipótese foi levantada na reunião e ficou em análise, nem descartada nem recomendada. Esta folha põe de um lado tudo o que a entrada do cônjuge dá e do outro tudo o que custa, para que a decisão não se tome pela metade que é mais fácil de calcular.</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A premissa de que tudo depende</t>
        </is>
      </c>
      <c r="B5" s="7" t="n"/>
      <c r="C5" s="7" t="n"/>
      <c r="D5" s="7" t="n"/>
      <c r="E5" s="7" t="n"/>
      <c r="F5" s="7" t="n"/>
    </row>
    <row r="6" ht="46" customHeight="1">
      <c r="A6" s="20" t="inlineStr">
        <is>
          <t>Toda esta folha assume que a atividade do cônjuge NÃO consta da tabela do art. 151.º CIRS. Se constar — por enquadramento como desportista ou pelo código residual — a entrada dele não afasta a transparência fiscal com percentagem de capital nenhuma, e tudo o que está abaixo passa a ser custo sem contrapartida. A premissa nunca foi verificada.</t>
        </is>
      </c>
    </row>
    <row r="7">
      <c r="A7" s="8" t="inlineStr">
        <is>
          <t>Premissa verificada? (1 = sim / 0 = não)</t>
        </is>
      </c>
      <c r="B7" s="9" t="inlineStr">
        <is>
          <t>PREMISSA</t>
        </is>
      </c>
      <c r="C7" s="50">
        <f>Alertas!$B$5</f>
        <v/>
      </c>
      <c r="D7" s="50">
        <f>Alertas!$B$5</f>
        <v/>
      </c>
      <c r="E7" s="50">
        <f>Alertas!$B$5</f>
        <v/>
      </c>
      <c r="F7" s="17" t="inlineStr">
        <is>
          <t>Interruptor na folha Alertas. Ver R1-14 e N1-01.</t>
        </is>
      </c>
    </row>
    <row r="8">
      <c r="A8" s="2" t="inlineStr">
        <is>
          <t>O que a entrada do cônjuge dá</t>
        </is>
      </c>
      <c r="B8" s="7" t="n"/>
      <c r="C8" s="7" t="n"/>
      <c r="D8" s="7" t="n"/>
      <c r="E8" s="7" t="n"/>
      <c r="F8" s="7" t="n"/>
    </row>
    <row r="9">
      <c r="A9" s="8" t="inlineStr">
        <is>
          <t>IVA recuperável atribuível à entrada do cônjuge</t>
        </is>
      </c>
      <c r="B9" s="9" t="inlineStr">
        <is>
          <t>G_IVA</t>
        </is>
      </c>
      <c r="C9" s="35">
        <f>IVA!$C$21</f>
        <v/>
      </c>
      <c r="D9" s="35">
        <f>IVA!$D$21</f>
        <v/>
      </c>
      <c r="E9" s="35">
        <f>IVA!$E$21</f>
        <v/>
      </c>
      <c r="F9" s="17" t="inlineStr">
        <is>
          <t>Zero enquanto o cônjuge não faturar DENTRO da sociedade. Deter capital não dá IVA nenhum: são duas decisões diferentes.</t>
        </is>
      </c>
    </row>
    <row r="10">
      <c r="A10" s="8" t="inlineStr">
        <is>
          <t>Diferencial de líquido para a sócia, via 4 face à via 3</t>
        </is>
      </c>
      <c r="B10" s="9" t="inlineStr">
        <is>
          <t>G_ESTR</t>
        </is>
      </c>
      <c r="C10" s="35">
        <f>V4_Soc_NaoTransparente!$C$44-V3_Soc_Transparente!$C$36</f>
        <v/>
      </c>
      <c r="D10" s="35">
        <f>V4_Soc_NaoTransparente!$D$44-V3_Soc_Transparente!$D$36</f>
        <v/>
      </c>
      <c r="E10" s="35">
        <f>V4_Soc_NaoTransparente!$E$44-V3_Soc_Transparente!$E$36</f>
        <v/>
      </c>
      <c r="F10" s="17" t="inlineStr">
        <is>
          <t>Negativo significa que afastar a transparência custa dinheiro à sócia nas condições atuais de distribuição. Depende inteiramente da alavanca POL_DIST.</t>
        </is>
      </c>
    </row>
    <row r="11">
      <c r="A11" s="22" t="inlineStr">
        <is>
          <t>Total dos ganhos anuais</t>
        </is>
      </c>
      <c r="B11" s="9" t="inlineStr">
        <is>
          <t>G_TOT</t>
        </is>
      </c>
      <c r="C11" s="27">
        <f>$C$9+$C$10</f>
        <v/>
      </c>
      <c r="D11" s="27">
        <f>$D$9+$D$10</f>
        <v/>
      </c>
      <c r="E11" s="27">
        <f>$E$9+$E$10</f>
        <v/>
      </c>
      <c r="F11" s="17" t="inlineStr">
        <is>
          <t>O ganho de IVA é de uma só vez, no ano do investimento; o diferencial de estrutura é recorrente. Somá-los na mesma linha é uma simplificação — ler as duas linhas acima.</t>
        </is>
      </c>
    </row>
    <row r="12">
      <c r="A12" s="2" t="inlineStr">
        <is>
          <t>O que a entrada do cônjuge custa</t>
        </is>
      </c>
      <c r="B12" s="7" t="n"/>
      <c r="C12" s="7" t="n"/>
      <c r="D12" s="7" t="n"/>
      <c r="E12" s="7" t="n"/>
      <c r="F12" s="7" t="n"/>
    </row>
    <row r="13">
      <c r="A13" s="8" t="inlineStr">
        <is>
          <t>Quota de lucros atribuída ao cônjuge, por ano</t>
        </is>
      </c>
      <c r="B13" s="9" t="inlineStr">
        <is>
          <t>C_QUOTA</t>
        </is>
      </c>
      <c r="C13" s="35">
        <f>V4_Soc_NaoTransparente!$C$43</f>
        <v/>
      </c>
      <c r="D13" s="35">
        <f>V4_Soc_NaoTransparente!$D$43</f>
        <v/>
      </c>
      <c r="E13" s="35">
        <f>V4_Soc_NaoTransparente!$E$43</f>
        <v/>
      </c>
      <c r="F13" s="17" t="inlineStr">
        <is>
          <t>Dentro do agregado é uma transferência, não uma perda. Fora dele — divórcio, sucessão — é definitiva. O relatório tem de dizer as duas coisas.</t>
        </is>
      </c>
    </row>
    <row r="14">
      <c r="A14" s="8" t="inlineStr">
        <is>
          <t>Custo administrativo anual de sujeito passivo misto</t>
        </is>
      </c>
      <c r="B14" s="9" t="inlineStr">
        <is>
          <t>C_ADM</t>
        </is>
      </c>
      <c r="C14" s="16" t="n">
        <v>0</v>
      </c>
      <c r="D14" s="16" t="n">
        <v>0</v>
      </c>
      <c r="E14" s="16" t="n">
        <v>0</v>
      </c>
      <c r="F14" s="17" t="inlineStr">
        <is>
          <t>A PREENCHER com a estimativa do contabilista: segregação documental, pro rata ou afetação real, regularizações anuais, obrigações declarativas adicionais. Não é zero.</t>
        </is>
      </c>
    </row>
    <row r="15">
      <c r="A15" s="8" t="inlineStr">
        <is>
          <t>Custo de constituição e de alterações societárias</t>
        </is>
      </c>
      <c r="B15" s="9" t="inlineStr">
        <is>
          <t>C_CONST</t>
        </is>
      </c>
      <c r="C15" s="16" t="n">
        <v>0</v>
      </c>
      <c r="D15" s="16" t="n">
        <v>0</v>
      </c>
      <c r="E15" s="16" t="n">
        <v>0</v>
      </c>
      <c r="F15" s="17" t="inlineStr">
        <is>
          <t>A PREENCHER. Custo único.</t>
        </is>
      </c>
    </row>
    <row r="16">
      <c r="A16" s="22" t="inlineStr">
        <is>
          <t>Total dos custos anuais</t>
        </is>
      </c>
      <c r="B16" s="9" t="inlineStr">
        <is>
          <t>C_TOT</t>
        </is>
      </c>
      <c r="C16" s="27">
        <f>$C$13+$C$14+$C$15</f>
        <v/>
      </c>
      <c r="D16" s="27">
        <f>$D$13+$D$14+$D$15</f>
        <v/>
      </c>
      <c r="E16" s="27">
        <f>$E$13+$E$14+$E$15</f>
        <v/>
      </c>
      <c r="F16" s="17" t="inlineStr"/>
    </row>
    <row r="17">
      <c r="A17" s="2" t="inlineStr">
        <is>
          <t>Saldo</t>
        </is>
      </c>
      <c r="B17" s="7" t="n"/>
      <c r="C17" s="7" t="n"/>
      <c r="D17" s="7" t="n"/>
      <c r="E17" s="7" t="n"/>
      <c r="F17" s="7" t="n"/>
    </row>
    <row r="18">
      <c r="A18" s="22" t="inlineStr">
        <is>
          <t>SALDO ANUAL DA OPERAÇÃO, NA ESFERA DA SÓCIA</t>
        </is>
      </c>
      <c r="B18" s="9" t="inlineStr">
        <is>
          <t>SALDO</t>
        </is>
      </c>
      <c r="C18" s="27">
        <f>$C$11-$C$16</f>
        <v/>
      </c>
      <c r="D18" s="27">
        <f>$D$11-$D$16</f>
        <v/>
      </c>
      <c r="E18" s="27">
        <f>$E$11-$E$16</f>
        <v/>
      </c>
      <c r="F18" s="17" t="inlineStr"/>
    </row>
    <row r="19">
      <c r="A19" s="22" t="inlineStr">
        <is>
          <t>SALDO ANUAL NA ESFERA DO AGREGADO</t>
        </is>
      </c>
      <c r="B19" s="9" t="inlineStr">
        <is>
          <t>SALDO_AGR</t>
        </is>
      </c>
      <c r="C19" s="27">
        <f>$C$11-$C$14-$C$15</f>
        <v/>
      </c>
      <c r="D19" s="27">
        <f>$D$11-$D$14-$D$15</f>
        <v/>
      </c>
      <c r="E19" s="27">
        <f>$E$11-$E$14-$E$15</f>
        <v/>
      </c>
      <c r="F19" s="17" t="inlineStr">
        <is>
          <t>Exclui a quota de lucros do cônjuge, que dentro do agregado não sai. É a leitura mais favorável possível à operação.</t>
        </is>
      </c>
    </row>
    <row r="20">
      <c r="A20" s="22" t="inlineStr">
        <is>
          <t>Leitura</t>
        </is>
      </c>
      <c r="B20" s="9" t="inlineStr">
        <is>
          <t>VEREDITO</t>
        </is>
      </c>
      <c r="C20" s="26">
        <f>IF($C$7=0,"NÃO DECIDÍVEL — premissa por verificar",IF($C$18&gt;0,"Favorável na esfera da sócia",IF($C$19&gt;0,"Favorável apenas na ótica do agregado, não na da sócia","Desfavorável nas condições atuais")))</f>
        <v/>
      </c>
      <c r="D20" s="26">
        <f>IF($D$7=0,"NÃO DECIDÍVEL — premissa por verificar",IF($D$18&gt;0,"Favorável na esfera da sócia",IF($D$19&gt;0,"Favorável apenas na ótica do agregado, não na da sócia","Desfavorável nas condições atuais")))</f>
        <v/>
      </c>
      <c r="E20" s="26">
        <f>IF($E$7=0,"NÃO DECIDÍVEL — premissa por verificar",IF($E$18&gt;0,"Favorável na esfera da sócia",IF($E$19&gt;0,"Favorável apenas na ótica do agregado, não na da sócia","Desfavorável nas condições atuais")))</f>
        <v/>
      </c>
      <c r="F20" s="17" t="inlineStr"/>
    </row>
    <row r="22" ht="76" customHeight="1">
      <c r="A22" s="20" t="inlineStr">
        <is>
          <t>O que esta folha não quantifica, e tem de ser dito por palavras no capítulo 7: a perda de controlo qualificado, já que uma participação superior a 25% dá capacidade de bloqueio das deliberações que exijam maioria de três quartos; o efeito em caso de divórcio ou sucessão; e o risco de o desenho ser lido como artificial ao abrigo do art. 38.º n.º 2 da LGT se a participação não tiver substância económica real. Nenhuma destas três coisas tem preço, e todas podem ser mais caras do que o saldo acima.</t>
        </is>
      </c>
    </row>
  </sheetData>
  <mergeCells count="3">
    <mergeCell ref="A2:F2"/>
    <mergeCell ref="A6:F6"/>
    <mergeCell ref="A22:F2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P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50" customWidth="1" min="16" max="16"/>
  </cols>
  <sheetData>
    <row r="1">
      <c r="A1" s="1" t="inlineStr">
        <is>
          <t>M1 — Tesouraria do ano 1 e necessidade de fundo de maneio</t>
        </is>
      </c>
    </row>
    <row r="2" ht="46" customHeight="1">
      <c r="A2" s="20" t="inlineStr">
        <is>
          <t>Um negócio pode ser rentável e mesmo assim ficar sem dinheiro. O investimento paga-se todo no início, a receita sobe devagar, e há pagamentos que chegam em bloco. Esta folha responde à única pergunta que importa antes de assinar seja o que for: quanto dinheiro é preciso ter na mão para chegar ao fim do primeiro ano.</t>
        </is>
      </c>
    </row>
    <row r="4">
      <c r="A4" s="2" t="inlineStr">
        <is>
          <t>Fundos necessários no arranque</t>
        </is>
      </c>
      <c r="B4" s="7" t="n"/>
      <c r="C4" s="7" t="n"/>
      <c r="D4" s="7" t="n"/>
    </row>
    <row r="5">
      <c r="A5" s="8" t="inlineStr">
        <is>
          <t>Investimento em obras, equipamento e software</t>
        </is>
      </c>
      <c r="B5" s="9" t="inlineStr">
        <is>
          <t>INV</t>
        </is>
      </c>
      <c r="C5" s="35">
        <f>Inputs!$D$27+Inputs!$D$28+Inputs!$D$29+Inputs!$D$30</f>
        <v/>
      </c>
      <c r="D5" s="17" t="inlineStr"/>
    </row>
    <row r="6">
      <c r="A6" s="8" t="inlineStr">
        <is>
          <t>IVA irrecuperável sobre o investimento</t>
        </is>
      </c>
      <c r="B6" s="9" t="inlineStr">
        <is>
          <t>IVA_IRR</t>
        </is>
      </c>
      <c r="C6" s="35">
        <f>IVA!$D$10</f>
        <v/>
      </c>
      <c r="D6" s="17" t="inlineStr">
        <is>
          <t>Sai da conta e não volta: a fisioterapia é isenta sem direito à dedução.</t>
        </is>
      </c>
    </row>
    <row r="7">
      <c r="A7" s="8" t="inlineStr">
        <is>
          <t>Caução do arrendamento (meses de renda)</t>
        </is>
      </c>
      <c r="B7" s="9" t="inlineStr">
        <is>
          <t>MESES_CAUC</t>
        </is>
      </c>
      <c r="C7" s="15" t="n">
        <v>3</v>
      </c>
      <c r="D7" s="17" t="inlineStr">
        <is>
          <t>Rubrica que quase sempre se esquece no plano de investimento. Confirmar com a proposta de arrendamento.</t>
        </is>
      </c>
    </row>
    <row r="8">
      <c r="A8" s="8" t="inlineStr">
        <is>
          <t>Caução do arrendamento</t>
        </is>
      </c>
      <c r="B8" s="9" t="inlineStr">
        <is>
          <t>CAUCAO</t>
        </is>
      </c>
      <c r="C8" s="28">
        <f>$C$7*Inputs!$D$19/12</f>
        <v/>
      </c>
      <c r="D8" s="17" t="inlineStr"/>
    </row>
    <row r="9">
      <c r="A9" s="22" t="inlineStr">
        <is>
          <t>TOTAL A DESEMBOLSAR NO ARRANQUE</t>
        </is>
      </c>
      <c r="B9" s="9" t="inlineStr">
        <is>
          <t>ARRANQUE</t>
        </is>
      </c>
      <c r="C9" s="27">
        <f>$C$5+$C$6+$C$8</f>
        <v/>
      </c>
      <c r="D9" s="17" t="inlineStr"/>
    </row>
    <row r="11">
      <c r="A11" s="2" t="inlineStr">
        <is>
          <t>Ano 1, mês a mês</t>
        </is>
      </c>
      <c r="B11" s="7" t="n"/>
      <c r="C11" s="7" t="n"/>
      <c r="D11" s="7" t="n"/>
      <c r="E11" s="7" t="n"/>
      <c r="F11" s="7" t="n"/>
      <c r="G11" s="7" t="n"/>
      <c r="H11" s="7" t="n"/>
      <c r="I11" s="7" t="n"/>
      <c r="J11" s="7" t="n"/>
      <c r="K11" s="7" t="n"/>
      <c r="L11" s="7" t="n"/>
      <c r="M11" s="7" t="n"/>
      <c r="N11" s="7" t="n"/>
      <c r="O11" s="7" t="n"/>
      <c r="P11" s="7" t="n"/>
    </row>
    <row r="12" ht="28" customHeight="1">
      <c r="A12" s="6" t="inlineStr">
        <is>
          <t>Rubrica</t>
        </is>
      </c>
      <c r="B12" s="6" t="inlineStr">
        <is>
          <t>Ref.</t>
        </is>
      </c>
      <c r="C12" s="6" t="inlineStr">
        <is>
          <t>Mês 1</t>
        </is>
      </c>
      <c r="D12" s="6" t="inlineStr">
        <is>
          <t>Mês 2</t>
        </is>
      </c>
      <c r="E12" s="6" t="inlineStr">
        <is>
          <t>Mês 3</t>
        </is>
      </c>
      <c r="F12" s="6" t="inlineStr">
        <is>
          <t>Mês 4</t>
        </is>
      </c>
      <c r="G12" s="6" t="inlineStr">
        <is>
          <t>Mês 5</t>
        </is>
      </c>
      <c r="H12" s="6" t="inlineStr">
        <is>
          <t>Mês 6</t>
        </is>
      </c>
      <c r="I12" s="6" t="inlineStr">
        <is>
          <t>Mês 7</t>
        </is>
      </c>
      <c r="J12" s="6" t="inlineStr">
        <is>
          <t>Mês 8</t>
        </is>
      </c>
      <c r="K12" s="6" t="inlineStr">
        <is>
          <t>Mês 9</t>
        </is>
      </c>
      <c r="L12" s="6" t="inlineStr">
        <is>
          <t>Mês 10</t>
        </is>
      </c>
      <c r="M12" s="6" t="inlineStr">
        <is>
          <t>Mês 11</t>
        </is>
      </c>
      <c r="N12" s="6" t="inlineStr">
        <is>
          <t>Mês 12</t>
        </is>
      </c>
      <c r="O12" s="6" t="inlineStr">
        <is>
          <t>Ano 1</t>
        </is>
      </c>
      <c r="P12" s="6" t="inlineStr">
        <is>
          <t>Nota</t>
        </is>
      </c>
    </row>
    <row r="13">
      <c r="A13" s="8" t="inlineStr">
        <is>
          <t>Taxa de ocupação dos gabinetes</t>
        </is>
      </c>
      <c r="B13" s="9" t="inlineStr">
        <is>
          <t>OCUP</t>
        </is>
      </c>
      <c r="C13" s="13" t="n">
        <v>0.15</v>
      </c>
      <c r="D13" s="13" t="n">
        <v>0.2</v>
      </c>
      <c r="E13" s="13" t="n">
        <v>0.25</v>
      </c>
      <c r="F13" s="13" t="n">
        <v>0.3</v>
      </c>
      <c r="G13" s="13" t="n">
        <v>0.33</v>
      </c>
      <c r="H13" s="13" t="n">
        <v>0.36</v>
      </c>
      <c r="I13" s="13" t="n">
        <v>0.39</v>
      </c>
      <c r="J13" s="13" t="n">
        <v>0.41</v>
      </c>
      <c r="K13" s="13" t="n">
        <v>0.43</v>
      </c>
      <c r="L13" s="13" t="n">
        <v>0.44</v>
      </c>
      <c r="M13" s="13" t="n">
        <v>0.45</v>
      </c>
      <c r="N13" s="13" t="n">
        <v>0.45</v>
      </c>
      <c r="P13" s="17" t="inlineStr">
        <is>
          <t>RAMPA DE ARRANQUE. É a fila de inputs mais importante desta folha e a que ninguém quer preencher com honestidade. Uma clínica nova não abre à ocupação de cruzeiro.</t>
        </is>
      </c>
    </row>
    <row r="14">
      <c r="A14" s="8" t="inlineStr">
        <is>
          <t>Consultas do mês</t>
        </is>
      </c>
      <c r="B14" s="9" t="inlineStr">
        <is>
          <t>CONS</t>
        </is>
      </c>
      <c r="C14" s="24">
        <f>(Operacao!$D$21/12)*C$13</f>
        <v/>
      </c>
      <c r="D14" s="24">
        <f>(Operacao!$D$21/12)*D$13</f>
        <v/>
      </c>
      <c r="E14" s="24">
        <f>(Operacao!$D$21/12)*E$13</f>
        <v/>
      </c>
      <c r="F14" s="24">
        <f>(Operacao!$D$21/12)*F$13</f>
        <v/>
      </c>
      <c r="G14" s="24">
        <f>(Operacao!$D$21/12)*G$13</f>
        <v/>
      </c>
      <c r="H14" s="24">
        <f>(Operacao!$D$21/12)*H$13</f>
        <v/>
      </c>
      <c r="I14" s="24">
        <f>(Operacao!$D$21/12)*I$13</f>
        <v/>
      </c>
      <c r="J14" s="24">
        <f>(Operacao!$D$21/12)*J$13</f>
        <v/>
      </c>
      <c r="K14" s="24">
        <f>(Operacao!$D$21/12)*K$13</f>
        <v/>
      </c>
      <c r="L14" s="24">
        <f>(Operacao!$D$21/12)*L$13</f>
        <v/>
      </c>
      <c r="M14" s="24">
        <f>(Operacao!$D$21/12)*M$13</f>
        <v/>
      </c>
      <c r="N14" s="24">
        <f>(Operacao!$D$21/12)*N$13</f>
        <v/>
      </c>
      <c r="O14" s="52">
        <f>SUM(C14:N14)</f>
        <v/>
      </c>
      <c r="P14" s="17" t="inlineStr"/>
    </row>
    <row r="15">
      <c r="A15" s="22" t="inlineStr">
        <is>
          <t>Faturação do mês</t>
        </is>
      </c>
      <c r="B15" s="9" t="inlineStr">
        <is>
          <t>FAT</t>
        </is>
      </c>
      <c r="C15" s="27">
        <f>C$14*BreakEven!$D$14</f>
        <v/>
      </c>
      <c r="D15" s="27">
        <f>D$14*BreakEven!$D$14</f>
        <v/>
      </c>
      <c r="E15" s="27">
        <f>E$14*BreakEven!$D$14</f>
        <v/>
      </c>
      <c r="F15" s="27">
        <f>F$14*BreakEven!$D$14</f>
        <v/>
      </c>
      <c r="G15" s="27">
        <f>G$14*BreakEven!$D$14</f>
        <v/>
      </c>
      <c r="H15" s="27">
        <f>H$14*BreakEven!$D$14</f>
        <v/>
      </c>
      <c r="I15" s="27">
        <f>I$14*BreakEven!$D$14</f>
        <v/>
      </c>
      <c r="J15" s="27">
        <f>J$14*BreakEven!$D$14</f>
        <v/>
      </c>
      <c r="K15" s="27">
        <f>K$14*BreakEven!$D$14</f>
        <v/>
      </c>
      <c r="L15" s="27">
        <f>L$14*BreakEven!$D$14</f>
        <v/>
      </c>
      <c r="M15" s="27">
        <f>M$14*BreakEven!$D$14</f>
        <v/>
      </c>
      <c r="N15" s="27">
        <f>N$14*BreakEven!$D$14</f>
        <v/>
      </c>
      <c r="O15" s="43">
        <f>SUM(C15:N15)</f>
        <v/>
      </c>
      <c r="P15" s="17" t="inlineStr"/>
    </row>
    <row r="16">
      <c r="A16" s="8" t="inlineStr">
        <is>
          <t>% recebida no próprio mês</t>
        </is>
      </c>
      <c r="B16" s="9" t="inlineStr">
        <is>
          <t>PCT_PRONTO</t>
        </is>
      </c>
      <c r="C16" s="13" t="n">
        <v>0.85</v>
      </c>
      <c r="D16" s="13" t="n">
        <v>0.85</v>
      </c>
      <c r="E16" s="13" t="n">
        <v>0.85</v>
      </c>
      <c r="F16" s="13" t="n">
        <v>0.85</v>
      </c>
      <c r="G16" s="13" t="n">
        <v>0.85</v>
      </c>
      <c r="H16" s="13" t="n">
        <v>0.85</v>
      </c>
      <c r="I16" s="13" t="n">
        <v>0.85</v>
      </c>
      <c r="J16" s="13" t="n">
        <v>0.85</v>
      </c>
      <c r="K16" s="13" t="n">
        <v>0.85</v>
      </c>
      <c r="L16" s="13" t="n">
        <v>0.85</v>
      </c>
      <c r="M16" s="13" t="n">
        <v>0.85</v>
      </c>
      <c r="N16" s="13" t="n">
        <v>0.85</v>
      </c>
      <c r="P16" s="17" t="inlineStr">
        <is>
          <t>Consultas particulares pagam-se na hora; subsistemas e seguros pagam a 30 dias ou mais.</t>
        </is>
      </c>
    </row>
    <row r="17">
      <c r="A17" s="22" t="inlineStr">
        <is>
          <t>Recebimentos</t>
        </is>
      </c>
      <c r="B17" s="9" t="inlineStr">
        <is>
          <t>REC</t>
        </is>
      </c>
      <c r="C17" s="27">
        <f>C$15*C$16</f>
        <v/>
      </c>
      <c r="D17" s="27">
        <f>D$15*D$16+C$15*(1-C$16)</f>
        <v/>
      </c>
      <c r="E17" s="27">
        <f>E$15*E$16+D$15*(1-D$16)</f>
        <v/>
      </c>
      <c r="F17" s="27">
        <f>F$15*F$16+E$15*(1-E$16)</f>
        <v/>
      </c>
      <c r="G17" s="27">
        <f>G$15*G$16+F$15*(1-F$16)</f>
        <v/>
      </c>
      <c r="H17" s="27">
        <f>H$15*H$16+G$15*(1-G$16)</f>
        <v/>
      </c>
      <c r="I17" s="27">
        <f>I$15*I$16+H$15*(1-H$16)</f>
        <v/>
      </c>
      <c r="J17" s="27">
        <f>J$15*J$16+I$15*(1-I$16)</f>
        <v/>
      </c>
      <c r="K17" s="27">
        <f>K$15*K$16+J$15*(1-J$16)</f>
        <v/>
      </c>
      <c r="L17" s="27">
        <f>L$15*L$16+K$15*(1-K$16)</f>
        <v/>
      </c>
      <c r="M17" s="27">
        <f>M$15*M$16+L$15*(1-L$16)</f>
        <v/>
      </c>
      <c r="N17" s="27">
        <f>N$15*N$16+M$15*(1-M$16)</f>
        <v/>
      </c>
      <c r="O17" s="43">
        <f>SUM(C17:N17)</f>
        <v/>
      </c>
      <c r="P17" s="17" t="inlineStr">
        <is>
          <t>O desfasamento entre faturar e receber é dinheiro que falta em caixa.</t>
        </is>
      </c>
    </row>
    <row r="18">
      <c r="A18" s="8" t="inlineStr">
        <is>
          <t>Custos variáveis (consumíveis e colaboradores)</t>
        </is>
      </c>
      <c r="B18" s="9" t="inlineStr">
        <is>
          <t>CV</t>
        </is>
      </c>
      <c r="C18" s="28">
        <f>C$15*(1-BreakEven!$D$9)</f>
        <v/>
      </c>
      <c r="D18" s="28">
        <f>D$15*(1-BreakEven!$D$9)</f>
        <v/>
      </c>
      <c r="E18" s="28">
        <f>E$15*(1-BreakEven!$D$9)</f>
        <v/>
      </c>
      <c r="F18" s="28">
        <f>F$15*(1-BreakEven!$D$9)</f>
        <v/>
      </c>
      <c r="G18" s="28">
        <f>G$15*(1-BreakEven!$D$9)</f>
        <v/>
      </c>
      <c r="H18" s="28">
        <f>H$15*(1-BreakEven!$D$9)</f>
        <v/>
      </c>
      <c r="I18" s="28">
        <f>I$15*(1-BreakEven!$D$9)</f>
        <v/>
      </c>
      <c r="J18" s="28">
        <f>J$15*(1-BreakEven!$D$9)</f>
        <v/>
      </c>
      <c r="K18" s="28">
        <f>K$15*(1-BreakEven!$D$9)</f>
        <v/>
      </c>
      <c r="L18" s="28">
        <f>L$15*(1-BreakEven!$D$9)</f>
        <v/>
      </c>
      <c r="M18" s="28">
        <f>M$15*(1-BreakEven!$D$9)</f>
        <v/>
      </c>
      <c r="N18" s="28">
        <f>N$15*(1-BreakEven!$D$9)</f>
        <v/>
      </c>
      <c r="O18" s="43">
        <f>SUM(C18:N18)</f>
        <v/>
      </c>
      <c r="P18" s="17" t="inlineStr"/>
    </row>
    <row r="19">
      <c r="A19" s="8" t="inlineStr">
        <is>
          <t>Custos fixos</t>
        </is>
      </c>
      <c r="B19" s="9" t="inlineStr">
        <is>
          <t>CF</t>
        </is>
      </c>
      <c r="C19" s="35">
        <f>BreakEven!$D$10/12</f>
        <v/>
      </c>
      <c r="D19" s="35">
        <f>BreakEven!$D$10/12</f>
        <v/>
      </c>
      <c r="E19" s="35">
        <f>BreakEven!$D$10/12</f>
        <v/>
      </c>
      <c r="F19" s="35">
        <f>BreakEven!$D$10/12</f>
        <v/>
      </c>
      <c r="G19" s="35">
        <f>BreakEven!$D$10/12</f>
        <v/>
      </c>
      <c r="H19" s="35">
        <f>BreakEven!$D$10/12</f>
        <v/>
      </c>
      <c r="I19" s="35">
        <f>BreakEven!$D$10/12</f>
        <v/>
      </c>
      <c r="J19" s="35">
        <f>BreakEven!$D$10/12</f>
        <v/>
      </c>
      <c r="K19" s="35">
        <f>BreakEven!$D$10/12</f>
        <v/>
      </c>
      <c r="L19" s="35">
        <f>BreakEven!$D$10/12</f>
        <v/>
      </c>
      <c r="M19" s="35">
        <f>BreakEven!$D$10/12</f>
        <v/>
      </c>
      <c r="N19" s="35">
        <f>BreakEven!$D$10/12</f>
        <v/>
      </c>
      <c r="O19" s="43">
        <f>SUM(C19:N19)</f>
        <v/>
      </c>
      <c r="P19" s="17" t="inlineStr">
        <is>
          <t>Renda, condomínio, seguros, software e outros. Pagam-se haja ou não doentes.</t>
        </is>
      </c>
    </row>
    <row r="20">
      <c r="A20" s="8" t="inlineStr">
        <is>
          <t>Segurança Social</t>
        </is>
      </c>
      <c r="B20" s="9" t="inlineStr">
        <is>
          <t>SS</t>
        </is>
      </c>
      <c r="C20" s="35">
        <f>V2_ENI_ContOrg!$D$13/12</f>
        <v/>
      </c>
      <c r="D20" s="35">
        <f>V2_ENI_ContOrg!$D$13/12</f>
        <v/>
      </c>
      <c r="E20" s="35">
        <f>V2_ENI_ContOrg!$D$13/12</f>
        <v/>
      </c>
      <c r="F20" s="35">
        <f>V2_ENI_ContOrg!$D$13/12</f>
        <v/>
      </c>
      <c r="G20" s="35">
        <f>V2_ENI_ContOrg!$D$13/12</f>
        <v/>
      </c>
      <c r="H20" s="35">
        <f>V2_ENI_ContOrg!$D$13/12</f>
        <v/>
      </c>
      <c r="I20" s="35">
        <f>V2_ENI_ContOrg!$D$13/12</f>
        <v/>
      </c>
      <c r="J20" s="35">
        <f>V2_ENI_ContOrg!$D$13/12</f>
        <v/>
      </c>
      <c r="K20" s="35">
        <f>V2_ENI_ContOrg!$D$13/12</f>
        <v/>
      </c>
      <c r="L20" s="35">
        <f>V2_ENI_ContOrg!$D$13/12</f>
        <v/>
      </c>
      <c r="M20" s="35">
        <f>V2_ENI_ContOrg!$D$13/12</f>
        <v/>
      </c>
      <c r="N20" s="35">
        <f>V2_ENI_ContOrg!$D$13/12</f>
        <v/>
      </c>
      <c r="O20" s="43">
        <f>SUM(C20:N20)</f>
        <v/>
      </c>
      <c r="P20" s="17" t="inlineStr">
        <is>
          <t>Aproximação de cruzeiro. No primeiro ano a base é a declarada, não o lucro do próprio ano. Ver R1-40.</t>
        </is>
      </c>
    </row>
    <row r="21">
      <c r="A21" s="8" t="inlineStr">
        <is>
          <t>IRS — pagamentos por conta</t>
        </is>
      </c>
      <c r="B21" s="9" t="inlineStr">
        <is>
          <t>IRS_PC</t>
        </is>
      </c>
      <c r="C21" s="16" t="n">
        <v>0</v>
      </c>
      <c r="D21" s="16" t="n">
        <v>0</v>
      </c>
      <c r="E21" s="16" t="n">
        <v>0</v>
      </c>
      <c r="F21" s="16" t="n">
        <v>0</v>
      </c>
      <c r="G21" s="16" t="n">
        <v>0</v>
      </c>
      <c r="H21" s="16" t="n">
        <v>0</v>
      </c>
      <c r="I21" s="16" t="n">
        <v>0</v>
      </c>
      <c r="J21" s="16" t="n">
        <v>0</v>
      </c>
      <c r="K21" s="16" t="n">
        <v>0</v>
      </c>
      <c r="L21" s="16" t="n">
        <v>0</v>
      </c>
      <c r="M21" s="16" t="n">
        <v>0</v>
      </c>
      <c r="N21" s="16" t="n">
        <v>0</v>
      </c>
      <c r="O21" s="43">
        <f>SUM(C21:N21)</f>
        <v/>
      </c>
      <c r="P21" s="17" t="inlineStr">
        <is>
          <t>A PREENCHER, e é uma armadilha clássica: no ano 1 os pagamentos por conta são calculados sobre o rendimento do ano ANTERIOR, no regime antigo. Paga-se IRS do passado enquanto se está a investir no futuro. Vencem em julho, setembro e dezembro — meses 7, 9 e 12.</t>
        </is>
      </c>
    </row>
    <row r="22">
      <c r="A22" s="8" t="inlineStr">
        <is>
          <t>Investimento e caução</t>
        </is>
      </c>
      <c r="B22" s="9" t="inlineStr">
        <is>
          <t>INV_M</t>
        </is>
      </c>
      <c r="C22" s="28">
        <f>$C$9</f>
        <v/>
      </c>
      <c r="D22" s="28" t="n">
        <v>0</v>
      </c>
      <c r="E22" s="28" t="n">
        <v>0</v>
      </c>
      <c r="F22" s="28" t="n">
        <v>0</v>
      </c>
      <c r="G22" s="28" t="n">
        <v>0</v>
      </c>
      <c r="H22" s="28" t="n">
        <v>0</v>
      </c>
      <c r="I22" s="28" t="n">
        <v>0</v>
      </c>
      <c r="J22" s="28" t="n">
        <v>0</v>
      </c>
      <c r="K22" s="28" t="n">
        <v>0</v>
      </c>
      <c r="L22" s="28" t="n">
        <v>0</v>
      </c>
      <c r="M22" s="28" t="n">
        <v>0</v>
      </c>
      <c r="N22" s="28" t="n">
        <v>0</v>
      </c>
      <c r="O22" s="43">
        <f>SUM(C22:N22)</f>
        <v/>
      </c>
      <c r="P22" s="17" t="inlineStr">
        <is>
          <t>Todo no mês 1. Se a empreitada for faseada, repartir.</t>
        </is>
      </c>
    </row>
    <row r="23">
      <c r="A23" s="22" t="inlineStr">
        <is>
          <t>SALDO DO MÊS</t>
        </is>
      </c>
      <c r="B23" s="9" t="inlineStr">
        <is>
          <t>SALDO</t>
        </is>
      </c>
      <c r="C23" s="27">
        <f>C$17-C$18-C$19-C$20-C$21-C$22</f>
        <v/>
      </c>
      <c r="D23" s="27">
        <f>D$17-D$18-D$19-D$20-D$21-D$22</f>
        <v/>
      </c>
      <c r="E23" s="27">
        <f>E$17-E$18-E$19-E$20-E$21-E$22</f>
        <v/>
      </c>
      <c r="F23" s="27">
        <f>F$17-F$18-F$19-F$20-F$21-F$22</f>
        <v/>
      </c>
      <c r="G23" s="27">
        <f>G$17-G$18-G$19-G$20-G$21-G$22</f>
        <v/>
      </c>
      <c r="H23" s="27">
        <f>H$17-H$18-H$19-H$20-H$21-H$22</f>
        <v/>
      </c>
      <c r="I23" s="27">
        <f>I$17-I$18-I$19-I$20-I$21-I$22</f>
        <v/>
      </c>
      <c r="J23" s="27">
        <f>J$17-J$18-J$19-J$20-J$21-J$22</f>
        <v/>
      </c>
      <c r="K23" s="27">
        <f>K$17-K$18-K$19-K$20-K$21-K$22</f>
        <v/>
      </c>
      <c r="L23" s="27">
        <f>L$17-L$18-L$19-L$20-L$21-L$22</f>
        <v/>
      </c>
      <c r="M23" s="27">
        <f>M$17-M$18-M$19-M$20-M$21-M$22</f>
        <v/>
      </c>
      <c r="N23" s="27">
        <f>N$17-N$18-N$19-N$20-N$21-N$22</f>
        <v/>
      </c>
      <c r="O23" s="43">
        <f>SUM(C23:N23)</f>
        <v/>
      </c>
      <c r="P23" s="17" t="inlineStr"/>
    </row>
    <row r="24">
      <c r="A24" s="22" t="inlineStr">
        <is>
          <t>SALDO ACUMULADO</t>
        </is>
      </c>
      <c r="B24" s="9" t="inlineStr">
        <is>
          <t>ACUM</t>
        </is>
      </c>
      <c r="C24" s="27">
        <f>C$23</f>
        <v/>
      </c>
      <c r="D24" s="27">
        <f>C$24+D$23</f>
        <v/>
      </c>
      <c r="E24" s="27">
        <f>D$24+E$23</f>
        <v/>
      </c>
      <c r="F24" s="27">
        <f>E$24+F$23</f>
        <v/>
      </c>
      <c r="G24" s="27">
        <f>F$24+G$23</f>
        <v/>
      </c>
      <c r="H24" s="27">
        <f>G$24+H$23</f>
        <v/>
      </c>
      <c r="I24" s="27">
        <f>H$24+I$23</f>
        <v/>
      </c>
      <c r="J24" s="27">
        <f>I$24+J$23</f>
        <v/>
      </c>
      <c r="K24" s="27">
        <f>J$24+K$23</f>
        <v/>
      </c>
      <c r="L24" s="27">
        <f>K$24+L$23</f>
        <v/>
      </c>
      <c r="M24" s="27">
        <f>L$24+M$23</f>
        <v/>
      </c>
      <c r="N24" s="27">
        <f>M$24+N$23</f>
        <v/>
      </c>
      <c r="P24" s="17" t="inlineStr">
        <is>
          <t>É esta a linha que decide se o projeto sobrevive ao primeiro ano.</t>
        </is>
      </c>
    </row>
    <row r="25">
      <c r="A25" s="8" t="inlineStr">
        <is>
          <t>Marcador do ponto mais baixo</t>
        </is>
      </c>
      <c r="B25" s="9" t="inlineStr">
        <is>
          <t>MARC_MIN</t>
        </is>
      </c>
      <c r="C25" s="24">
        <f>IF(C$24=MIN($C$24:$N$24),1,0)</f>
        <v/>
      </c>
      <c r="D25" s="24">
        <f>IF(D$24=MIN($C$24:$N$24),2,0)</f>
        <v/>
      </c>
      <c r="E25" s="24">
        <f>IF(E$24=MIN($C$24:$N$24),3,0)</f>
        <v/>
      </c>
      <c r="F25" s="24">
        <f>IF(F$24=MIN($C$24:$N$24),4,0)</f>
        <v/>
      </c>
      <c r="G25" s="24">
        <f>IF(G$24=MIN($C$24:$N$24),5,0)</f>
        <v/>
      </c>
      <c r="H25" s="24">
        <f>IF(H$24=MIN($C$24:$N$24),6,0)</f>
        <v/>
      </c>
      <c r="I25" s="24">
        <f>IF(I$24=MIN($C$24:$N$24),7,0)</f>
        <v/>
      </c>
      <c r="J25" s="24">
        <f>IF(J$24=MIN($C$24:$N$24),8,0)</f>
        <v/>
      </c>
      <c r="K25" s="24">
        <f>IF(K$24=MIN($C$24:$N$24),9,0)</f>
        <v/>
      </c>
      <c r="L25" s="24">
        <f>IF(L$24=MIN($C$24:$N$24),10,0)</f>
        <v/>
      </c>
      <c r="M25" s="24">
        <f>IF(M$24=MIN($C$24:$N$24),11,0)</f>
        <v/>
      </c>
      <c r="N25" s="24">
        <f>IF(N$24=MIN($C$24:$N$24),12,0)</f>
        <v/>
      </c>
      <c r="P25" s="17" t="inlineStr"/>
    </row>
    <row r="26">
      <c r="A26" s="8" t="inlineStr">
        <is>
          <t>Marcador de recuperação</t>
        </is>
      </c>
      <c r="B26" s="9" t="inlineStr">
        <is>
          <t>MARC</t>
        </is>
      </c>
      <c r="C26" s="24" t="n">
        <v>0</v>
      </c>
      <c r="D26" s="24">
        <f>IF(AND(D$24&gt;=0,C$24&lt;0),2,0)</f>
        <v/>
      </c>
      <c r="E26" s="24">
        <f>IF(AND(E$24&gt;=0,D$24&lt;0),3,0)</f>
        <v/>
      </c>
      <c r="F26" s="24">
        <f>IF(AND(F$24&gt;=0,E$24&lt;0),4,0)</f>
        <v/>
      </c>
      <c r="G26" s="24">
        <f>IF(AND(G$24&gt;=0,F$24&lt;0),5,0)</f>
        <v/>
      </c>
      <c r="H26" s="24">
        <f>IF(AND(H$24&gt;=0,G$24&lt;0),6,0)</f>
        <v/>
      </c>
      <c r="I26" s="24">
        <f>IF(AND(I$24&gt;=0,H$24&lt;0),7,0)</f>
        <v/>
      </c>
      <c r="J26" s="24">
        <f>IF(AND(J$24&gt;=0,I$24&lt;0),8,0)</f>
        <v/>
      </c>
      <c r="K26" s="24">
        <f>IF(AND(K$24&gt;=0,J$24&lt;0),9,0)</f>
        <v/>
      </c>
      <c r="L26" s="24">
        <f>IF(AND(L$24&gt;=0,K$24&lt;0),10,0)</f>
        <v/>
      </c>
      <c r="M26" s="24">
        <f>IF(AND(M$24&gt;=0,L$24&lt;0),11,0)</f>
        <v/>
      </c>
      <c r="N26" s="24">
        <f>IF(AND(N$24&gt;=0,M$24&lt;0),12,0)</f>
        <v/>
      </c>
      <c r="P26" s="17" t="inlineStr"/>
    </row>
    <row r="28" ht="26" customHeight="1">
      <c r="A28" s="22" t="inlineStr">
        <is>
          <t>NECESSIDADE MÁXIMA DE TESOURARIA</t>
        </is>
      </c>
      <c r="C28" s="27">
        <f>-MIN($C$24:$N$24)</f>
        <v/>
      </c>
      <c r="E28" s="17" t="inlineStr">
        <is>
          <t>O ponto mais fundo do saldo acumulado. JÁ INCLUI o investimento e a caução, porque eles saem da mesma conta bancária — não somar outra vez.</t>
        </is>
      </c>
    </row>
    <row r="29" ht="26" customHeight="1">
      <c r="A29" s="8" t="inlineStr">
        <is>
          <t xml:space="preserve">   da qual, investimento e caução</t>
        </is>
      </c>
      <c r="C29" s="27">
        <f>$C$9</f>
        <v/>
      </c>
      <c r="E29" s="17" t="inlineStr">
        <is>
          <t>Desembolso de uma só vez, no arranque.</t>
        </is>
      </c>
    </row>
    <row r="30" ht="26" customHeight="1">
      <c r="A30" s="8" t="inlineStr">
        <is>
          <t xml:space="preserve">   da qual, cobertura do défice operacional</t>
        </is>
      </c>
      <c r="C30" s="27">
        <f>-MIN($C$24:$N$24)-$C$9</f>
        <v/>
      </c>
      <c r="E30" s="17" t="inlineStr">
        <is>
          <t>O que a operação consome enquanto a receita não chega para os custos. É a parte que quase ninguém orça, e é a que apanha quem abre pela primeira vez.</t>
        </is>
      </c>
    </row>
    <row r="31" ht="26" customHeight="1">
      <c r="A31" s="8" t="inlineStr">
        <is>
          <t>Mês em que o saldo acumulado atinge o ponto mais baixo</t>
        </is>
      </c>
      <c r="C31" s="23">
        <f>MAX($C$25:$N$25)</f>
        <v/>
      </c>
      <c r="E31" s="17" t="inlineStr"/>
    </row>
    <row r="32" ht="26" customHeight="1">
      <c r="A32" s="8" t="inlineStr">
        <is>
          <t>Mês em que o saldo acumulado volta a ser positivo</t>
        </is>
      </c>
      <c r="C32" s="23">
        <f>IF(MAX($C$26:$N$26)=0,"Não recupera dentro do ano 1",MAX($C$26:$N$26))</f>
        <v/>
      </c>
      <c r="E32" s="17" t="inlineStr">
        <is>
          <t>Se não recuperar dentro do ano 1, o fundo de maneio tem de cobrir também o ano 2.</t>
        </is>
      </c>
    </row>
    <row r="33" ht="26" customHeight="1">
      <c r="A33" s="8" t="inlineStr">
        <is>
          <t>Margem de segurança (meses de custos fixos)</t>
        </is>
      </c>
      <c r="C33" s="15" t="n">
        <v>3</v>
      </c>
      <c r="E33" s="17" t="inlineStr">
        <is>
          <t>A PREENCHER. Nenhuma projeção acerta. Três meses é uma convenção prudente para quem não tem outra fonte de rendimento.</t>
        </is>
      </c>
    </row>
    <row r="35">
      <c r="A35" s="8" t="inlineStr">
        <is>
          <t>Margem de segurança, em euros</t>
        </is>
      </c>
      <c r="C35" s="28">
        <f>$C$33*BreakEven!$D$10/12</f>
        <v/>
      </c>
    </row>
    <row r="36" ht="30" customHeight="1">
      <c r="A36" s="22" t="inlineStr">
        <is>
          <t>TOTAL DE DINHEIRO NECESSÁRIO ANTES DE ABRIR</t>
        </is>
      </c>
      <c r="C36" s="53">
        <f>$C$28+$C$35</f>
        <v/>
      </c>
      <c r="E36" s="17" t="inlineStr">
        <is>
          <t>Investimento, caução e fundo de maneio. É este o número a dizer à cliente antes de qualquer conversa sobre estrutura fiscal. Se ela não o tiver ou não o conseguir financiar, a discussão sobre ENI ou sociedade é prematura.</t>
        </is>
      </c>
    </row>
    <row r="38">
      <c r="A38" s="2" t="inlineStr">
        <is>
          <t>Visão a três anos</t>
        </is>
      </c>
      <c r="B38" s="7" t="n"/>
      <c r="C38" s="7" t="n"/>
      <c r="D38" s="7" t="n"/>
      <c r="E38" s="7" t="n"/>
      <c r="F38" s="7" t="n"/>
    </row>
    <row r="39" ht="28" customHeight="1">
      <c r="A39" s="6" t="inlineStr">
        <is>
          <t>Rubrica</t>
        </is>
      </c>
      <c r="B39" s="6" t="inlineStr">
        <is>
          <t>Ref.</t>
        </is>
      </c>
      <c r="C39" s="6" t="inlineStr">
        <is>
          <t>Ano 1</t>
        </is>
      </c>
      <c r="D39" s="6" t="inlineStr">
        <is>
          <t>Ano 2</t>
        </is>
      </c>
      <c r="E39" s="6" t="inlineStr">
        <is>
          <t>Ano 3</t>
        </is>
      </c>
      <c r="F39" s="6" t="inlineStr">
        <is>
          <t>Nota</t>
        </is>
      </c>
    </row>
    <row r="40">
      <c r="A40" s="8" t="inlineStr">
        <is>
          <t>Taxa de ocupação média do ano</t>
        </is>
      </c>
      <c r="B40" s="9" t="inlineStr">
        <is>
          <t>OCUP</t>
        </is>
      </c>
      <c r="C40" s="13">
        <f>AVERAGE($C$13:$N$13)</f>
        <v/>
      </c>
      <c r="D40" s="13" t="n">
        <v>0.52</v>
      </c>
      <c r="E40" s="13" t="n">
        <v>0.58</v>
      </c>
      <c r="F40" s="17" t="inlineStr">
        <is>
          <t>Ano 1 é a média da rampa. Anos 2 e 3 a preencher — e a justificar com o plano de captação de doentes, que não existe e é o pressuposto silencioso de tudo isto (R1-41).</t>
        </is>
      </c>
    </row>
    <row r="41">
      <c r="A41" s="22" t="inlineStr">
        <is>
          <t>Faturação</t>
        </is>
      </c>
      <c r="B41" s="9" t="inlineStr">
        <is>
          <t>FAT</t>
        </is>
      </c>
      <c r="C41" s="27">
        <f>Operacao!$D$21*$C$40*BreakEven!$D$14</f>
        <v/>
      </c>
      <c r="D41" s="27">
        <f>Operacao!$D$21*$D$40*BreakEven!$D$14</f>
        <v/>
      </c>
      <c r="E41" s="27">
        <f>Operacao!$D$21*$E$40*BreakEven!$D$14</f>
        <v/>
      </c>
      <c r="F41" s="17" t="inlineStr"/>
    </row>
    <row r="42">
      <c r="A42" s="8" t="inlineStr">
        <is>
          <t>Custos variáveis</t>
        </is>
      </c>
      <c r="B42" s="9" t="inlineStr">
        <is>
          <t>CV</t>
        </is>
      </c>
      <c r="C42" s="28">
        <f>$C$41*(1-BreakEven!$D$9)</f>
        <v/>
      </c>
      <c r="D42" s="28">
        <f>$D$41*(1-BreakEven!$D$9)</f>
        <v/>
      </c>
      <c r="E42" s="28">
        <f>$E$41*(1-BreakEven!$D$9)</f>
        <v/>
      </c>
      <c r="F42" s="17" t="inlineStr"/>
    </row>
    <row r="43">
      <c r="A43" s="8" t="inlineStr">
        <is>
          <t>Custos fixos</t>
        </is>
      </c>
      <c r="B43" s="9" t="inlineStr">
        <is>
          <t>CF</t>
        </is>
      </c>
      <c r="C43" s="35">
        <f>BreakEven!$D$10</f>
        <v/>
      </c>
      <c r="D43" s="35">
        <f>BreakEven!$D$10</f>
        <v/>
      </c>
      <c r="E43" s="35">
        <f>BreakEven!$D$10</f>
        <v/>
      </c>
      <c r="F43" s="17" t="inlineStr"/>
    </row>
    <row r="44">
      <c r="A44" s="22" t="inlineStr">
        <is>
          <t>Resultado operacional</t>
        </is>
      </c>
      <c r="B44" s="9" t="inlineStr">
        <is>
          <t>RES</t>
        </is>
      </c>
      <c r="C44" s="27">
        <f>$C$41-$C$42-$C$43</f>
        <v/>
      </c>
      <c r="D44" s="27">
        <f>$D$41-$D$42-$D$43</f>
        <v/>
      </c>
      <c r="E44" s="27">
        <f>$E$41-$E$42-$E$43</f>
        <v/>
      </c>
      <c r="F44" s="17" t="inlineStr"/>
    </row>
    <row r="45">
      <c r="A45" s="8" t="inlineStr">
        <is>
          <t>Impostos e contribuições estimados</t>
        </is>
      </c>
      <c r="B45" s="9" t="inlineStr">
        <is>
          <t>CARGA</t>
        </is>
      </c>
      <c r="C45" s="28">
        <f>MAX(0,$C$44)*V2_ENI_ContOrg!$D$27</f>
        <v/>
      </c>
      <c r="D45" s="28">
        <f>MAX(0,$D$44)*V2_ENI_ContOrg!$D$27</f>
        <v/>
      </c>
      <c r="E45" s="28">
        <f>MAX(0,$E$44)*V2_ENI_ContOrg!$D$27</f>
        <v/>
      </c>
      <c r="F45" s="17" t="inlineStr">
        <is>
          <t>Aplica a taxa de esforço da via 2 no cenário Base. Aproximação: a taxa real varia com o nível de rendimento. Ver R1-33.</t>
        </is>
      </c>
    </row>
    <row r="46">
      <c r="A46" s="22" t="inlineStr">
        <is>
          <t>Resultado líquido</t>
        </is>
      </c>
      <c r="B46" s="9" t="inlineStr">
        <is>
          <t>LIQ</t>
        </is>
      </c>
      <c r="C46" s="27">
        <f>$C$44-$C$45</f>
        <v/>
      </c>
      <c r="D46" s="27">
        <f>$D$44-$D$45</f>
        <v/>
      </c>
      <c r="E46" s="27">
        <f>$E$44-$E$45</f>
        <v/>
      </c>
      <c r="F46" s="17" t="inlineStr"/>
    </row>
    <row r="47">
      <c r="A47" s="22" t="inlineStr">
        <is>
          <t>Caixa acumulada desde o arranque</t>
        </is>
      </c>
      <c r="B47" s="9" t="inlineStr">
        <is>
          <t>CX</t>
        </is>
      </c>
      <c r="C47" s="27">
        <f>$C$46-$C$9</f>
        <v/>
      </c>
      <c r="D47" s="27">
        <f>$C$47+$D$46</f>
        <v/>
      </c>
      <c r="E47" s="27">
        <f>$D$47+$E$46</f>
        <v/>
      </c>
      <c r="F47" s="17" t="inlineStr">
        <is>
          <t>Inclui o desembolso inicial. O ano em que esta linha passa a positiva é o payback real.</t>
        </is>
      </c>
    </row>
    <row r="49" ht="44" customHeight="1">
      <c r="A49" s="20" t="inlineStr">
        <is>
          <t>Esta visão a três anos assume custos fixos constantes e preço constante. Não é uma projeção financeira completa — é o suficiente para responder a «quando é que recupero o que meti» e a «o ano 1 é sustentável». Uma projeção completa exigiria inflação de custos, renovação de equipamento e evolução da tabela de preços, e nenhuma dessas coisas está informada. Registado em R1-42.</t>
        </is>
      </c>
    </row>
  </sheetData>
  <mergeCells count="9">
    <mergeCell ref="E33:N33"/>
    <mergeCell ref="E36:N36"/>
    <mergeCell ref="A49:P49"/>
    <mergeCell ref="E31:N31"/>
    <mergeCell ref="E30:N30"/>
    <mergeCell ref="E29:N29"/>
    <mergeCell ref="E32:N32"/>
    <mergeCell ref="E28:N28"/>
    <mergeCell ref="A2:P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2026-08-22T22:03:25Z</dcterms:created>
  <dcterms:modified xsi:type="dcterms:W3CDTF">2026-08-22T22:03:25Z</dcterms:modified>
</cp:coreProperties>
</file>