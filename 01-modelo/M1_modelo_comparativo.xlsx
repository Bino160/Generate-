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IA-ME" sheetId="1" state="visible" r:id="rId1"/>
    <sheet name="Parametros" sheetId="2" state="visible" r:id="rId2"/>
    <sheet name="Inputs" sheetId="3" state="visible" r:id="rId3"/>
    <sheet name="V1_ENI_Simplificado" sheetId="4" state="visible" r:id="rId4"/>
    <sheet name="V2_ENI_ContOrg" sheetId="5" state="visible" r:id="rId5"/>
    <sheet name="V3_Soc_Transparente" sheetId="6" state="visible" r:id="rId6"/>
    <sheet name="V4_Soc_NaoTransparente" sheetId="7" state="visible" r:id="rId7"/>
    <sheet name="IVA" sheetId="8" state="visible" r:id="rId8"/>
    <sheet name="Comparativo" sheetId="9" state="visible" r:id="rId9"/>
    <sheet name="PontoViragem" sheetId="10" state="visible" r:id="rId10"/>
    <sheet name="Validacao" sheetId="11" state="visible" r:id="rId11"/>
  </sheets>
  <definedNames/>
  <calcPr calcId="124519" fullCalcOnLoad="1"/>
</workbook>
</file>

<file path=xl/styles.xml><?xml version="1.0" encoding="utf-8"?>
<styleSheet xmlns="http://schemas.openxmlformats.org/spreadsheetml/2006/main">
  <numFmts count="5">
    <numFmt numFmtId="164" formatCode="#,##0.00 &quot;€&quot;;(#,##0.00 &quot;€&quot;);&quot;-&quot;"/>
    <numFmt numFmtId="165" formatCode="0.0%;(0.0%);&quot;-&quot;"/>
    <numFmt numFmtId="166" formatCode="0.00%;(0.00%);&quot;-&quot;"/>
    <numFmt numFmtId="167" formatCode="#,##0;(#,##0);&quot;-&quot;"/>
    <numFmt numFmtId="168" formatCode="#,##0 &quot;€&quot;;(#,##0 &quot;€&quot;);&quot;-&quot;"/>
  </numFmts>
  <fonts count="10">
    <font>
      <name val="Calibri"/>
      <family val="2"/>
      <color theme="1"/>
      <sz val="11"/>
      <scheme val="minor"/>
    </font>
    <font>
      <name val="Arial"/>
      <b val="1"/>
      <color rgb="001F3864"/>
      <sz val="14"/>
    </font>
    <font>
      <name val="Arial"/>
      <i val="1"/>
      <color rgb="00595959"/>
      <sz val="9"/>
    </font>
    <font>
      <name val="Arial"/>
      <b val="1"/>
      <color rgb="00FFFFFF"/>
      <sz val="10"/>
    </font>
    <font>
      <name val="Arial"/>
      <b val="1"/>
      <color rgb="001F3864"/>
      <sz val="10"/>
    </font>
    <font>
      <name val="Arial"/>
      <sz val="10"/>
    </font>
    <font>
      <name val="Arial"/>
      <i val="1"/>
      <color rgb="00808080"/>
      <sz val="8"/>
    </font>
    <font>
      <name val="Arial"/>
      <color rgb="000000FF"/>
      <sz val="10"/>
    </font>
    <font>
      <name val="Arial"/>
      <color rgb="00008000"/>
      <sz val="10"/>
    </font>
    <font>
      <name val="Arial"/>
      <b val="1"/>
      <sz val="10"/>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F00"/>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4" fillId="3" borderId="0" pivotButton="0" quotePrefix="0" xfId="0"/>
    <xf numFmtId="0" fontId="5" fillId="0" borderId="0" applyAlignment="1" pivotButton="0" quotePrefix="0" xfId="0">
      <alignment vertical="top" wrapText="1"/>
    </xf>
    <xf numFmtId="0" fontId="5" fillId="5" borderId="0" applyAlignment="1" pivotButton="0" quotePrefix="0" xfId="0">
      <alignment vertical="top" wrapText="1"/>
    </xf>
    <xf numFmtId="0" fontId="2"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0" pivotButton="0" quotePrefix="0" xfId="0"/>
    <xf numFmtId="0" fontId="6" fillId="0" borderId="0" pivotButton="0" quotePrefix="0" xfId="0"/>
    <xf numFmtId="164" fontId="7" fillId="4" borderId="1" pivotButton="0" quotePrefix="0" xfId="0"/>
    <xf numFmtId="0" fontId="6" fillId="5" borderId="0" pivotButton="0" quotePrefix="0" xfId="0"/>
    <xf numFmtId="165" fontId="7" fillId="4" borderId="1" pivotButton="0" quotePrefix="0" xfId="0"/>
    <xf numFmtId="166" fontId="7" fillId="4" borderId="1" pivotButton="0" quotePrefix="0" xfId="0"/>
    <xf numFmtId="167" fontId="7" fillId="4" borderId="1" pivotButton="0" quotePrefix="0" xfId="0"/>
    <xf numFmtId="168" fontId="7" fillId="4" borderId="1" pivotButton="0" quotePrefix="0" xfId="0"/>
    <xf numFmtId="0" fontId="6" fillId="0" borderId="0" applyAlignment="1" pivotButton="0" quotePrefix="0" xfId="0">
      <alignment vertical="top" wrapText="1"/>
    </xf>
    <xf numFmtId="166" fontId="5" fillId="0" borderId="1" pivotButton="0" quotePrefix="0" xfId="0"/>
    <xf numFmtId="0" fontId="7" fillId="4" borderId="1" pivotButton="0" quotePrefix="0" xfId="0"/>
    <xf numFmtId="0" fontId="2" fillId="0" borderId="0" applyAlignment="1" pivotButton="0" quotePrefix="0" xfId="0">
      <alignment vertical="top" wrapText="1"/>
    </xf>
    <xf numFmtId="0" fontId="6" fillId="5" borderId="0" applyAlignment="1" pivotButton="0" quotePrefix="0" xfId="0">
      <alignment vertical="top" wrapText="1"/>
    </xf>
    <xf numFmtId="0" fontId="4" fillId="0" borderId="0" pivotButton="0" quotePrefix="0" xfId="0"/>
    <xf numFmtId="168" fontId="6" fillId="0" borderId="0" pivotButton="0" quotePrefix="0" xfId="0"/>
    <xf numFmtId="168" fontId="8" fillId="0" borderId="1" pivotButton="0" quotePrefix="0" xfId="0"/>
    <xf numFmtId="165" fontId="8" fillId="0" borderId="1" pivotButton="0" quotePrefix="0" xfId="0"/>
    <xf numFmtId="168" fontId="5" fillId="0" borderId="1" pivotButton="0" quotePrefix="0" xfId="0"/>
    <xf numFmtId="0" fontId="9" fillId="0" borderId="0" pivotButton="0" quotePrefix="0" xfId="0"/>
    <xf numFmtId="168" fontId="9" fillId="6" borderId="1" pivotButton="0" quotePrefix="0" xfId="0"/>
    <xf numFmtId="165" fontId="5" fillId="0" borderId="1" pivotButton="0" quotePrefix="0" xfId="0"/>
    <xf numFmtId="167" fontId="7" fillId="0" borderId="1" pivotButton="0" quotePrefix="0" xfId="0"/>
    <xf numFmtId="0" fontId="9" fillId="6" borderId="1" pivotButton="0" quotePrefix="0" xfId="0"/>
    <xf numFmtId="0" fontId="0" fillId="0" borderId="4" pivotButton="0" quotePrefix="0" xfId="0"/>
    <xf numFmtId="0" fontId="0" fillId="0" borderId="5" pivotButton="0" quotePrefix="0" xfId="0"/>
    <xf numFmtId="168" fontId="8" fillId="0" borderId="0" pivotButton="0" quotePrefix="0" xfId="0"/>
    <xf numFmtId="165" fontId="7" fillId="0" borderId="1" pivotButton="0" quotePrefix="0" xfId="0"/>
    <xf numFmtId="168" fontId="9" fillId="0" borderId="1" pivotButton="0" quotePrefix="0" xfId="0"/>
    <xf numFmtId="165" fontId="9" fillId="6" borderId="1" pivotButton="0" quotePrefix="0" xfId="0"/>
    <xf numFmtId="164" fontId="8" fillId="0" borderId="1" pivotButton="0" quotePrefix="0" xfId="0"/>
    <xf numFmtId="164" fontId="7" fillId="0" borderId="1" pivotButton="0" quotePrefix="0" xfId="0"/>
    <xf numFmtId="164" fontId="5" fillId="0" borderId="1" pivotButton="0" quotePrefix="0" xfId="0"/>
    <xf numFmtId="0" fontId="9" fillId="0" borderId="1" applyAlignment="1" pivotButton="0" quotePrefix="0" xfId="0">
      <alignment horizont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showGridLines="0" workbookViewId="0">
      <selection activeCell="A1" sqref="A1"/>
    </sheetView>
  </sheetViews>
  <sheetFormatPr baseColWidth="8" defaultRowHeight="15"/>
  <cols>
    <col width="4" customWidth="1" min="1" max="1"/>
    <col width="110" customWidth="1" min="2" max="2"/>
  </cols>
  <sheetData>
    <row r="1">
      <c r="A1" s="1" t="inlineStr">
        <is>
          <t>M1 — Modelo comparativo das quatro vias</t>
        </is>
      </c>
    </row>
    <row r="4">
      <c r="B4" s="2" t="inlineStr">
        <is>
          <t>Identificação</t>
        </is>
      </c>
    </row>
    <row r="5" ht="15" customHeight="1">
      <c r="B5" s="3" t="inlineStr">
        <is>
          <t>Projeto: Dra. Júlia Best (NIF 272180610) — cliente faturável: Gerir Saúde.</t>
        </is>
      </c>
    </row>
    <row r="6" ht="15" customHeight="1">
      <c r="B6" s="3" t="inlineStr">
        <is>
          <t>Origem: ata de 18/08/2026 (MOD COO 007/1). Brief de entregáveis de 22/08/2026.</t>
        </is>
      </c>
    </row>
    <row r="7" ht="28" customHeight="1">
      <c r="B7" s="3" t="inlineStr">
        <is>
          <t>Estatuto: ENTREGÁVEL INTERNO. Não sai para a cliente — a entrega do ficheiro está expressamente fora de âmbito (secção 5 do brief). O que sai são as tabelas do capítulo 3 e do anexo E2, sem fórmulas visíveis.</t>
        </is>
      </c>
    </row>
    <row r="8" ht="15" customHeight="1">
      <c r="B8" s="3" t="inlineStr">
        <is>
          <t>Propriedade: ativo reutilizável VCLevel.</t>
        </is>
      </c>
    </row>
    <row r="9">
      <c r="B9" s="2" t="inlineStr">
        <is>
          <t>Estado atual — ler antes de usar</t>
        </is>
      </c>
    </row>
    <row r="10" ht="28" customHeight="1">
      <c r="B10" s="4" t="inlineStr">
        <is>
          <t>A cliente não forneceu nenhum dos oito inputs da secção 4 do brief. Todos os valores da folha Inputs são placeholders para testar o motor de cálculo.</t>
        </is>
      </c>
    </row>
    <row r="11" ht="41" customHeight="1">
      <c r="B11" s="4" t="inlineStr">
        <is>
          <t>Nenhum número deste ficheiro pode ser citado no relatório, no deck ou perante a cliente antes de (i) os inputs reais entrarem, (ii) a folha Parâmetros ser confirmada para 2026 pela equipa de Fiscalidade, e (iii) a folha Validação estar assinada.</t>
        </is>
      </c>
    </row>
    <row r="12">
      <c r="B12" s="2" t="inlineStr">
        <is>
          <t>Como está organizado</t>
        </is>
      </c>
    </row>
    <row r="13" ht="28" customHeight="1">
      <c r="B13" s="3" t="inlineStr">
        <is>
          <t>Parâmetros — todas as taxas, escalões e limiares, cada um com a norma e o estado de validação. Nenhuma taxa é escrita dentro de uma fórmula noutra folha.</t>
        </is>
      </c>
    </row>
    <row r="14" ht="15" customHeight="1">
      <c r="B14" s="3" t="inlineStr">
        <is>
          <t>Inputs — folha única de parâmetros do caso, em três cenários de faturação.</t>
        </is>
      </c>
    </row>
    <row r="15" ht="28" customHeight="1">
      <c r="B15" s="3" t="inlineStr">
        <is>
          <t>V1 a V4 — uma folha por via, com a mesma estrutura: apuramento, Segurança Social, IRS do agregado, resultado.</t>
        </is>
      </c>
    </row>
    <row r="16" ht="15" customHeight="1">
      <c r="B16" s="3" t="inlineStr">
        <is>
          <t>IVA — quantificação do IVA perdido no investimento e teste das duas atenuantes.</t>
        </is>
      </c>
    </row>
    <row r="17" ht="15" customHeight="1">
      <c r="B17" s="3" t="inlineStr">
        <is>
          <t>PontoViragem — nível de custos reais a partir do qual o simplificado deixa de compensar.</t>
        </is>
      </c>
    </row>
    <row r="18" ht="15" customHeight="1">
      <c r="B18" s="3" t="inlineStr">
        <is>
          <t>Comparativo — output que alimenta o capítulo 3 e o anexo E2.</t>
        </is>
      </c>
    </row>
    <row r="19" ht="15" customHeight="1">
      <c r="B19" s="3" t="inlineStr">
        <is>
          <t>Validação — recálculo independente e espaço para assinatura.</t>
        </is>
      </c>
    </row>
    <row r="20">
      <c r="B20" s="2" t="inlineStr">
        <is>
          <t>Convenções</t>
        </is>
      </c>
    </row>
    <row r="21" ht="28" customHeight="1">
      <c r="B21" s="3" t="inlineStr">
        <is>
          <t>Azul sobre amarelo = célula de preenchimento. Verde = ligação a outra folha. Preto = fórmula. Fundo laranja na folha Parâmetros = parâmetro por confirmar.</t>
        </is>
      </c>
    </row>
    <row r="22" ht="15" customHeight="1">
      <c r="B22" s="3" t="inlineStr">
        <is>
          <t>Percentagens guardadas como fração. Valores anuais, em euros, sem IVA salvo indicação.</t>
        </is>
      </c>
    </row>
    <row r="23">
      <c r="B23" s="2" t="inlineStr">
        <is>
          <t>Três decisões de modelação que são discutíveis e estão assumidas</t>
        </is>
      </c>
    </row>
    <row r="24" ht="41" customHeight="1">
      <c r="B24" s="3" t="inlineStr">
        <is>
          <t>1. A comparação entre vias usa o IRS diferencial (coleta do agregado com a atividade menos coleta sem a atividade), e não o IRS total. É o que torna as quatro vias comparáveis quando o cônjuge tem rendimento próprio.</t>
        </is>
      </c>
    </row>
    <row r="25" ht="28" customHeight="1">
      <c r="B25" s="3" t="inlineStr">
        <is>
          <t>2. O investimento inicial está fora da comparação anual e isolado numa linha de memória. Misturá-lo com o resultado corrente faria a via 1 parecer melhor do que é no ano 1.</t>
        </is>
      </c>
    </row>
    <row r="26" ht="28" customHeight="1">
      <c r="B26" s="3" t="inlineStr">
        <is>
          <t>3. Nas vias societárias, o valor retido na sociedade é mostrado separado do líquido da sócia. Somar os dois responderia a uma pergunta que a cliente não fez.</t>
        </is>
      </c>
    </row>
    <row r="27">
      <c r="B27" s="2" t="inlineStr">
        <is>
          <t>Reprodução</t>
        </is>
      </c>
    </row>
    <row r="28" ht="28" customHeight="1">
      <c r="B28" s="3" t="inlineStr">
        <is>
          <t>Este ficheiro é gerado por build_m1.py. Alterações estruturais fazem-se no script e regenera-se; alterações de valores fazem-se nas células amarelas.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0"/>
  <sheetViews>
    <sheetView showGridLines="0"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62" customWidth="1" min="4" max="4"/>
    <col width="26" customWidth="1" min="5" max="5"/>
  </cols>
  <sheetData>
    <row r="1">
      <c r="A1" s="1" t="inlineStr">
        <is>
          <t>M1 — Parâmetros fiscais e contributivos</t>
        </is>
      </c>
    </row>
    <row r="2">
      <c r="A2" s="5" t="inlineStr">
        <is>
          <t>Todos os parâmetros do modelo vivem aqui. Nenhuma folha de cálculo pode conter uma taxa escrita dentro de uma fórmula. Coluna E indica o estado de validação pela equipa de Fiscalidade.</t>
        </is>
      </c>
    </row>
    <row r="4" ht="28" customHeight="1">
      <c r="A4" s="6" t="inlineStr">
        <is>
          <t>Parâmetro</t>
        </is>
      </c>
      <c r="B4" s="6" t="inlineStr">
        <is>
          <t>Referência</t>
        </is>
      </c>
      <c r="C4" s="6" t="inlineStr">
        <is>
          <t>Valor</t>
        </is>
      </c>
      <c r="D4" s="6" t="inlineStr">
        <is>
          <t>Fonte normativa</t>
        </is>
      </c>
      <c r="E4" s="6" t="inlineStr">
        <is>
          <t>Estado de validação</t>
        </is>
      </c>
    </row>
    <row r="5">
      <c r="A5" s="2" t="inlineStr">
        <is>
          <t>Segurança Social</t>
        </is>
      </c>
      <c r="B5" s="7" t="n"/>
      <c r="C5" s="7" t="n"/>
      <c r="D5" s="7" t="n"/>
      <c r="E5" s="7" t="n"/>
    </row>
    <row r="6">
      <c r="A6" s="8" t="inlineStr">
        <is>
          <t>Indexante dos Apoios Sociais (mensal)</t>
        </is>
      </c>
      <c r="B6" s="9" t="inlineStr">
        <is>
          <t>IAS</t>
        </is>
      </c>
      <c r="C6" s="10" t="n">
        <v>522.5</v>
      </c>
      <c r="D6" s="9" t="inlineStr">
        <is>
          <t>Portaria de atualização anual do IAS</t>
        </is>
      </c>
      <c r="E6" s="11" t="inlineStr">
        <is>
          <t>A ATUALIZAR PARA 2026</t>
        </is>
      </c>
    </row>
    <row r="7">
      <c r="A7" s="8" t="inlineStr">
        <is>
          <t>TI — % da prestação de serviços que forma o rendimento relevante</t>
        </is>
      </c>
      <c r="B7" s="9" t="inlineStr">
        <is>
          <t>SS_TI_PCT</t>
        </is>
      </c>
      <c r="C7" s="12" t="n">
        <v>0.7</v>
      </c>
      <c r="D7" s="9" t="inlineStr">
        <is>
          <t>Art. 162.º n.º 1 Cód. Contributivo</t>
        </is>
      </c>
      <c r="E7" s="9" t="inlineStr">
        <is>
          <t>Confirmar</t>
        </is>
      </c>
    </row>
    <row r="8">
      <c r="A8" s="8" t="inlineStr">
        <is>
          <t>TI — taxa contributiva</t>
        </is>
      </c>
      <c r="B8" s="9" t="inlineStr">
        <is>
          <t>SS_TI_TAXA</t>
        </is>
      </c>
      <c r="C8" s="13" t="n">
        <v>0.214</v>
      </c>
      <c r="D8" s="9" t="inlineStr">
        <is>
          <t>Art. 168.º n.º 1 Cód. Contributivo</t>
        </is>
      </c>
      <c r="E8" s="9" t="inlineStr">
        <is>
          <t>Confirmar</t>
        </is>
      </c>
    </row>
    <row r="9">
      <c r="A9" s="8" t="inlineStr">
        <is>
          <t>TI — teto da base de incidência mensal (múltiplo do IAS)</t>
        </is>
      </c>
      <c r="B9" s="9" t="inlineStr">
        <is>
          <t>SS_TI_TETO</t>
        </is>
      </c>
      <c r="C9" s="14" t="n">
        <v>12</v>
      </c>
      <c r="D9" s="9" t="inlineStr">
        <is>
          <t>Art. 163.º n.º 2 Cód. Contributivo</t>
        </is>
      </c>
      <c r="E9" s="9" t="inlineStr">
        <is>
          <t>Confirmar</t>
        </is>
      </c>
    </row>
    <row r="10">
      <c r="A10" s="8" t="inlineStr">
        <is>
          <t>TI — contribuição mensal mínima</t>
        </is>
      </c>
      <c r="B10" s="9" t="inlineStr">
        <is>
          <t>SS_TI_MIN</t>
        </is>
      </c>
      <c r="C10" s="10" t="n">
        <v>20</v>
      </c>
      <c r="D10" s="9" t="inlineStr">
        <is>
          <t>Regime dos trabalhadores independentes</t>
        </is>
      </c>
      <c r="E10" s="9" t="inlineStr">
        <is>
          <t>Confirmar</t>
        </is>
      </c>
    </row>
    <row r="11">
      <c r="A11" s="8" t="inlineStr">
        <is>
          <t>MOE/gerência — taxa a cargo da entidade</t>
        </is>
      </c>
      <c r="B11" s="9" t="inlineStr">
        <is>
          <t>SS_MOE_ENT</t>
        </is>
      </c>
      <c r="C11" s="13" t="n">
        <v>0.2375</v>
      </c>
      <c r="D11" s="9" t="inlineStr">
        <is>
          <t>Art. 63.º e 168.º Cód. Contributivo</t>
        </is>
      </c>
      <c r="E11" s="11" t="inlineStr">
        <is>
          <t>CONFIRMAR (ver R1-12)</t>
        </is>
      </c>
    </row>
    <row r="12">
      <c r="A12" s="8" t="inlineStr">
        <is>
          <t>MOE/gerência — taxa a cargo do beneficiário</t>
        </is>
      </c>
      <c r="B12" s="9" t="inlineStr">
        <is>
          <t>SS_MOE_BEN</t>
        </is>
      </c>
      <c r="C12" s="13" t="n">
        <v>0.11</v>
      </c>
      <c r="D12" s="9" t="inlineStr">
        <is>
          <t>Art. 63.º e 168.º Cód. Contributivo</t>
        </is>
      </c>
      <c r="E12" s="11" t="inlineStr">
        <is>
          <t>CONFIRMAR (ver R1-12)</t>
        </is>
      </c>
    </row>
    <row r="13">
      <c r="A13" s="8" t="inlineStr">
        <is>
          <t>MOE — base de incidência mínima (múltiplo do IAS)</t>
        </is>
      </c>
      <c r="B13" s="9" t="inlineStr">
        <is>
          <t>SS_MOE_MIN</t>
        </is>
      </c>
      <c r="C13" s="14" t="n">
        <v>1</v>
      </c>
      <c r="D13" s="9" t="inlineStr">
        <is>
          <t>Art. 166.º Cód. Contributivo</t>
        </is>
      </c>
      <c r="E13" s="9" t="inlineStr">
        <is>
          <t>Confirmar</t>
        </is>
      </c>
    </row>
    <row r="14">
      <c r="A14" s="2" t="inlineStr">
        <is>
          <t>IRS — categoria B e regras de determinação</t>
        </is>
      </c>
      <c r="B14" s="7" t="n"/>
      <c r="C14" s="7" t="n"/>
      <c r="D14" s="7" t="n"/>
      <c r="E14" s="7" t="n"/>
    </row>
    <row r="15">
      <c r="A15" s="8" t="inlineStr">
        <is>
          <t>Coeficiente do regime simplificado (atividades do art. 151.º)</t>
        </is>
      </c>
      <c r="B15" s="9" t="inlineStr">
        <is>
          <t>COEF</t>
        </is>
      </c>
      <c r="C15" s="12" t="n">
        <v>0.75</v>
      </c>
      <c r="D15" s="9" t="inlineStr">
        <is>
          <t>Art. 31.º n.º 1 al. b) CIRS — fisioterapeutas constam da tabela do art. 151.º</t>
        </is>
      </c>
      <c r="E15" s="9" t="inlineStr">
        <is>
          <t>Validado</t>
        </is>
      </c>
    </row>
    <row r="16">
      <c r="A16" s="8" t="inlineStr">
        <is>
          <t>Limiar de justificação de despesas</t>
        </is>
      </c>
      <c r="B16" s="9" t="inlineStr">
        <is>
          <t>LIM_JUST</t>
        </is>
      </c>
      <c r="C16" s="12" t="n">
        <v>0.15</v>
      </c>
      <c r="D16" s="9" t="inlineStr">
        <is>
          <t>Art. 31.º n.º 13 CIRS</t>
        </is>
      </c>
      <c r="E16" s="9" t="inlineStr">
        <is>
          <t>Validado</t>
        </is>
      </c>
    </row>
    <row r="17">
      <c r="A17" s="8" t="inlineStr">
        <is>
          <t>Dedução específica considerada na justificação de despesas</t>
        </is>
      </c>
      <c r="B17" s="9" t="inlineStr">
        <is>
          <t>DED_ESP</t>
        </is>
      </c>
      <c r="C17" s="10" t="n">
        <v>4104</v>
      </c>
      <c r="D17" s="9" t="inlineStr">
        <is>
          <t>Art. 31.º n.º 13 al. a) CIRS</t>
        </is>
      </c>
      <c r="E17" s="9" t="inlineStr">
        <is>
          <t>Confirmar valor em vigor</t>
        </is>
      </c>
    </row>
    <row r="18">
      <c r="A18" s="8" t="inlineStr">
        <is>
          <t>Contribuições SS — dedutíveis na parte que excede esta % do rendimento bruto</t>
        </is>
      </c>
      <c r="B18" s="9" t="inlineStr">
        <is>
          <t>LIM_CONTRIB</t>
        </is>
      </c>
      <c r="C18" s="12" t="n">
        <v>0.1</v>
      </c>
      <c r="D18" s="9" t="inlineStr">
        <is>
          <t>Art. 31.º n.º 2 CIRS</t>
        </is>
      </c>
      <c r="E18" s="9" t="inlineStr">
        <is>
          <t>Confirmar</t>
        </is>
      </c>
    </row>
    <row r="19">
      <c r="A19" s="8" t="inlineStr">
        <is>
          <t>Limiar de permanência no regime simplificado (rendimento bruto)</t>
        </is>
      </c>
      <c r="B19" s="9" t="inlineStr">
        <is>
          <t>LIM_SIMPL</t>
        </is>
      </c>
      <c r="C19" s="15" t="n">
        <v>200000</v>
      </c>
      <c r="D19" s="9" t="inlineStr">
        <is>
          <t>Art. 28.º n.º 2 CIRS</t>
        </is>
      </c>
      <c r="E19" s="9" t="inlineStr">
        <is>
          <t>Confirmar</t>
        </is>
      </c>
    </row>
    <row r="20">
      <c r="A20" s="8" t="inlineStr">
        <is>
          <t>Período mínimo de permanência na opção por contabilidade organizada (anos)</t>
        </is>
      </c>
      <c r="B20" s="9" t="inlineStr">
        <is>
          <t>PERM_OPCAO</t>
        </is>
      </c>
      <c r="C20" s="14" t="n">
        <v>3</v>
      </c>
      <c r="D20" s="9" t="inlineStr">
        <is>
          <t>Art. 28.º n.º 5 CIRS</t>
        </is>
      </c>
      <c r="E20" s="9" t="inlineStr">
        <is>
          <t>Confirmar</t>
        </is>
      </c>
    </row>
    <row r="21">
      <c r="A21" s="8" t="inlineStr">
        <is>
          <t>Dedução específica da categoria A</t>
        </is>
      </c>
      <c r="B21" s="9" t="inlineStr">
        <is>
          <t>DED_CATA</t>
        </is>
      </c>
      <c r="C21" s="10" t="n">
        <v>4104</v>
      </c>
      <c r="D21" s="9" t="inlineStr">
        <is>
          <t>Art. 25.º n.º 1 al. a) CIRS</t>
        </is>
      </c>
      <c r="E21" s="9" t="inlineStr">
        <is>
          <t>Confirmar valor em vigor</t>
        </is>
      </c>
    </row>
    <row r="22">
      <c r="A22" s="2" t="inlineStr">
        <is>
          <t>IRC e tributação da distribuição</t>
        </is>
      </c>
      <c r="B22" s="7" t="n"/>
      <c r="C22" s="7" t="n"/>
      <c r="D22" s="7" t="n"/>
      <c r="E22" s="7" t="n"/>
    </row>
    <row r="23">
      <c r="A23" s="8" t="inlineStr">
        <is>
          <t>IRC — taxa aplicável ao primeiro escalão (PME)</t>
        </is>
      </c>
      <c r="B23" s="9" t="inlineStr">
        <is>
          <t>IRC_PME</t>
        </is>
      </c>
      <c r="C23" s="12" t="n">
        <v>0.16</v>
      </c>
      <c r="D23" s="9" t="inlineStr">
        <is>
          <t>Art. 87.º n.º 2 CIRC</t>
        </is>
      </c>
      <c r="E23" s="11" t="inlineStr">
        <is>
          <t>CONFIRMAR TAXA 2026 (ver R1-11)</t>
        </is>
      </c>
    </row>
    <row r="24">
      <c r="A24" s="8" t="inlineStr">
        <is>
          <t>IRC — limite da matéria coletável do primeiro escalão</t>
        </is>
      </c>
      <c r="B24" s="9" t="inlineStr">
        <is>
          <t>IRC_LIM</t>
        </is>
      </c>
      <c r="C24" s="15" t="n">
        <v>50000</v>
      </c>
      <c r="D24" s="9" t="inlineStr">
        <is>
          <t>Art. 87.º n.º 2 CIRC</t>
        </is>
      </c>
      <c r="E24" s="11" t="inlineStr">
        <is>
          <t>CONFIRMAR 2026</t>
        </is>
      </c>
    </row>
    <row r="25">
      <c r="A25" s="8" t="inlineStr">
        <is>
          <t>IRC — taxa geral</t>
        </is>
      </c>
      <c r="B25" s="9" t="inlineStr">
        <is>
          <t>IRC_GER</t>
        </is>
      </c>
      <c r="C25" s="12" t="n">
        <v>0.2</v>
      </c>
      <c r="D25" s="9" t="inlineStr">
        <is>
          <t>Art. 87.º n.º 1 CIRC</t>
        </is>
      </c>
      <c r="E25" s="11" t="inlineStr">
        <is>
          <t>CONFIRMAR TAXA 2026 (ver R1-11)</t>
        </is>
      </c>
    </row>
    <row r="26">
      <c r="A26" s="8" t="inlineStr">
        <is>
          <t>Derrama municipal (município do Porto)</t>
        </is>
      </c>
      <c r="B26" s="9" t="inlineStr">
        <is>
          <t>DERRAMA</t>
        </is>
      </c>
      <c r="C26" s="13" t="n">
        <v>0.015</v>
      </c>
      <c r="D26" s="9" t="inlineStr">
        <is>
          <t>Art. 18.º Lei 73/2013 + deliberação municipal</t>
        </is>
      </c>
      <c r="E26" s="11" t="inlineStr">
        <is>
          <t>CONFIRMAR município e isenção PME</t>
        </is>
      </c>
    </row>
    <row r="27">
      <c r="A27" s="8" t="inlineStr">
        <is>
          <t>Derrama incide sobre sociedade transparente? (1=sim / 0=não)</t>
        </is>
      </c>
      <c r="B27" s="9" t="inlineStr">
        <is>
          <t>DERR_TRANSP</t>
        </is>
      </c>
      <c r="C27" s="14" t="n">
        <v>0</v>
      </c>
      <c r="D27" s="9" t="inlineStr">
        <is>
          <t>Questão controvertida — art. 12.º CIRC vs. art. 18.º Lei 73/2013</t>
        </is>
      </c>
      <c r="E27" s="11" t="inlineStr">
        <is>
          <t>EM ABERTO (ver R1-13)</t>
        </is>
      </c>
    </row>
    <row r="28">
      <c r="A28" s="8" t="inlineStr">
        <is>
          <t>Dividendos — taxa liberatória</t>
        </is>
      </c>
      <c r="B28" s="9" t="inlineStr">
        <is>
          <t>DIV_LIB</t>
        </is>
      </c>
      <c r="C28" s="12" t="n">
        <v>0.28</v>
      </c>
      <c r="D28" s="9" t="inlineStr">
        <is>
          <t>Art. 71.º n.º 1 CIRS</t>
        </is>
      </c>
      <c r="E28" s="9" t="inlineStr">
        <is>
          <t>Confirmar</t>
        </is>
      </c>
    </row>
    <row r="29">
      <c r="A29" s="8" t="inlineStr">
        <is>
          <t>Dividendos — % considerada em caso de englobamento</t>
        </is>
      </c>
      <c r="B29" s="9" t="inlineStr">
        <is>
          <t>DIV_ENG</t>
        </is>
      </c>
      <c r="C29" s="12" t="n">
        <v>0.5</v>
      </c>
      <c r="D29" s="9" t="inlineStr">
        <is>
          <t>Art. 40.º-A n.º 1 CIRS</t>
        </is>
      </c>
      <c r="E29" s="9" t="inlineStr">
        <is>
          <t>Confirmar</t>
        </is>
      </c>
    </row>
    <row r="30">
      <c r="A30" s="2" t="inlineStr">
        <is>
          <t>IVA</t>
        </is>
      </c>
      <c r="B30" s="7" t="n"/>
      <c r="C30" s="7" t="n"/>
      <c r="D30" s="7" t="n"/>
      <c r="E30" s="7" t="n"/>
    </row>
    <row r="31">
      <c r="A31" s="8" t="inlineStr">
        <is>
          <t>IVA — taxa normal (continente)</t>
        </is>
      </c>
      <c r="B31" s="9" t="inlineStr">
        <is>
          <t>IVA_NORM</t>
        </is>
      </c>
      <c r="C31" s="12" t="n">
        <v>0.23</v>
      </c>
      <c r="D31" s="9" t="inlineStr">
        <is>
          <t>Art. 18.º n.º 1 al. c) CIVA</t>
        </is>
      </c>
      <c r="E31" s="9" t="inlineStr">
        <is>
          <t>Validado</t>
        </is>
      </c>
    </row>
    <row r="32">
      <c r="A32" s="8" t="inlineStr">
        <is>
          <t>IVA — taxa reduzida (continente)</t>
        </is>
      </c>
      <c r="B32" s="9" t="inlineStr">
        <is>
          <t>IVA_RED</t>
        </is>
      </c>
      <c r="C32" s="12" t="n">
        <v>0.06</v>
      </c>
      <c r="D32" s="9" t="inlineStr">
        <is>
          <t>Art. 18.º n.º 1 al. a) CIVA + Lista I</t>
        </is>
      </c>
      <c r="E32" s="9" t="inlineStr">
        <is>
          <t>Validado</t>
        </is>
      </c>
    </row>
    <row r="33">
      <c r="A33" s="2" t="inlineStr">
        <is>
          <t>Amortizações (vias com contabilidade)</t>
        </is>
      </c>
      <c r="B33" s="7" t="n"/>
      <c r="C33" s="7" t="n"/>
      <c r="D33" s="7" t="n"/>
      <c r="E33" s="7" t="n"/>
    </row>
    <row r="34">
      <c r="A34" s="8" t="inlineStr">
        <is>
          <t>Taxa de amortização — obras / benfeitorias em imóvel alheio</t>
        </is>
      </c>
      <c r="B34" s="9" t="inlineStr">
        <is>
          <t>AM_OBRAS</t>
        </is>
      </c>
      <c r="C34" s="12" t="n">
        <v>0.1</v>
      </c>
      <c r="D34" s="9" t="inlineStr">
        <is>
          <t>DR 25/2009 — ou período do contrato de arrendamento, se inferior</t>
        </is>
      </c>
      <c r="E34" s="11" t="inlineStr">
        <is>
          <t>CONFIRMAR código aplicável</t>
        </is>
      </c>
    </row>
    <row r="35">
      <c r="A35" s="8" t="inlineStr">
        <is>
          <t>Taxa de amortização — equipamento clínico</t>
        </is>
      </c>
      <c r="B35" s="9" t="inlineStr">
        <is>
          <t>AM_EQUIP</t>
        </is>
      </c>
      <c r="C35" s="12" t="n">
        <v>0.2</v>
      </c>
      <c r="D35" s="9" t="inlineStr">
        <is>
          <t>DR 25/2009, tabela II</t>
        </is>
      </c>
      <c r="E35" s="11" t="inlineStr">
        <is>
          <t>CONFIRMAR código aplicável</t>
        </is>
      </c>
    </row>
    <row r="36">
      <c r="A36" s="8" t="inlineStr">
        <is>
          <t>Taxa de amortização — software</t>
        </is>
      </c>
      <c r="B36" s="9" t="inlineStr">
        <is>
          <t>AM_SOFT</t>
        </is>
      </c>
      <c r="C36" s="12" t="n">
        <v>0.3333</v>
      </c>
      <c r="D36" s="9" t="inlineStr">
        <is>
          <t>DR 25/2009</t>
        </is>
      </c>
      <c r="E36" s="11" t="inlineStr">
        <is>
          <t>CONFIRMAR</t>
        </is>
      </c>
    </row>
    <row r="37">
      <c r="A37" s="2" t="inlineStr">
        <is>
          <t>Transparência fiscal — limiares do teste (usados na N1, não no cálculo)</t>
        </is>
      </c>
      <c r="B37" s="7" t="n"/>
      <c r="C37" s="7" t="n"/>
      <c r="D37" s="7" t="n"/>
      <c r="E37" s="7" t="n"/>
    </row>
    <row r="38">
      <c r="A38" s="8" t="inlineStr">
        <is>
          <t>% mínima de capital detida por profissionais das atividades do art. 151.º</t>
        </is>
      </c>
      <c r="B38" s="9" t="inlineStr">
        <is>
          <t>TF_CAP</t>
        </is>
      </c>
      <c r="C38" s="12" t="n">
        <v>0.75</v>
      </c>
      <c r="D38" s="9" t="inlineStr">
        <is>
          <t>Art. 6.º n.º 4 al. b) subal. ii) CIRC</t>
        </is>
      </c>
      <c r="E38" s="9" t="inlineStr">
        <is>
          <t>Validado</t>
        </is>
      </c>
    </row>
    <row r="39">
      <c r="A39" s="8" t="inlineStr">
        <is>
          <t>% mínima de rendimentos provenientes de atividades do art. 151.º</t>
        </is>
      </c>
      <c r="B39" s="9" t="inlineStr">
        <is>
          <t>TF_REND</t>
        </is>
      </c>
      <c r="C39" s="12" t="n">
        <v>0.75</v>
      </c>
      <c r="D39" s="9" t="inlineStr">
        <is>
          <t>Art. 6.º n.º 4 al. b) subal. ii) CIRC</t>
        </is>
      </c>
      <c r="E39" s="9" t="inlineStr">
        <is>
          <t>Validado</t>
        </is>
      </c>
    </row>
    <row r="40">
      <c r="A40" s="8" t="inlineStr">
        <is>
          <t>N.º máximo de sócios para o teste da subal. ii)</t>
        </is>
      </c>
      <c r="B40" s="9" t="inlineStr">
        <is>
          <t>TF_SOCIOS</t>
        </is>
      </c>
      <c r="C40" s="14" t="n">
        <v>5</v>
      </c>
      <c r="D40" s="9" t="inlineStr">
        <is>
          <t>Art. 6.º n.º 4 al. b) subal. ii) CIRC</t>
        </is>
      </c>
      <c r="E40" s="9" t="inlineStr">
        <is>
          <t>Validado</t>
        </is>
      </c>
    </row>
    <row r="42">
      <c r="A42" s="2" t="inlineStr">
        <is>
          <t>Escalões de IRS — taxas gerais</t>
        </is>
      </c>
      <c r="B42" s="7" t="n"/>
      <c r="C42" s="7" t="n"/>
      <c r="D42" s="7" t="n"/>
      <c r="E42" s="7" t="n"/>
    </row>
    <row r="43" ht="26" customHeight="1">
      <c r="A43" s="16" t="inlineStr">
        <is>
          <t>Tabela em vigor: 2025 (Lei n.º 33-A/2025). ATUALIZAR para os escalões do OE2026 antes de qualquer número entrar no relatório. A coluna 'Delta' é a mecânica de cálculo (taxa do escalão menos taxa do anterior) e recalcula sozinha.</t>
        </is>
      </c>
    </row>
    <row r="44" ht="28" customHeight="1">
      <c r="A44" s="6" t="inlineStr">
        <is>
          <t>Escalão</t>
        </is>
      </c>
      <c r="B44" s="6" t="inlineStr">
        <is>
          <t>Limite inferior</t>
        </is>
      </c>
      <c r="C44" s="6" t="inlineStr">
        <is>
          <t>Limite superior</t>
        </is>
      </c>
      <c r="D44" s="6" t="inlineStr">
        <is>
          <t>Taxa</t>
        </is>
      </c>
      <c r="E44" s="6" t="inlineStr">
        <is>
          <t>Delta (calculado)</t>
        </is>
      </c>
    </row>
    <row r="45">
      <c r="A45" s="8" t="n">
        <v>1</v>
      </c>
      <c r="B45" s="15" t="n">
        <v>0</v>
      </c>
      <c r="C45" s="15" t="n">
        <v>8059</v>
      </c>
      <c r="D45" s="13" t="n">
        <v>0.125</v>
      </c>
      <c r="E45" s="17">
        <f>D45</f>
        <v/>
      </c>
    </row>
    <row r="46">
      <c r="A46" s="8" t="n">
        <v>2</v>
      </c>
      <c r="B46" s="15" t="n">
        <v>8059</v>
      </c>
      <c r="C46" s="15" t="n">
        <v>12160</v>
      </c>
      <c r="D46" s="13" t="n">
        <v>0.16</v>
      </c>
      <c r="E46" s="17">
        <f>D46-D45</f>
        <v/>
      </c>
    </row>
    <row r="47">
      <c r="A47" s="8" t="n">
        <v>3</v>
      </c>
      <c r="B47" s="15" t="n">
        <v>12160</v>
      </c>
      <c r="C47" s="15" t="n">
        <v>17233</v>
      </c>
      <c r="D47" s="13" t="n">
        <v>0.215</v>
      </c>
      <c r="E47" s="17">
        <f>D47-D46</f>
        <v/>
      </c>
    </row>
    <row r="48">
      <c r="A48" s="8" t="n">
        <v>4</v>
      </c>
      <c r="B48" s="15" t="n">
        <v>17233</v>
      </c>
      <c r="C48" s="15" t="n">
        <v>22306</v>
      </c>
      <c r="D48" s="13" t="n">
        <v>0.244</v>
      </c>
      <c r="E48" s="17">
        <f>D48-D47</f>
        <v/>
      </c>
    </row>
    <row r="49">
      <c r="A49" s="8" t="n">
        <v>5</v>
      </c>
      <c r="B49" s="15" t="n">
        <v>22306</v>
      </c>
      <c r="C49" s="15" t="n">
        <v>28400</v>
      </c>
      <c r="D49" s="13" t="n">
        <v>0.314</v>
      </c>
      <c r="E49" s="17">
        <f>D49-D48</f>
        <v/>
      </c>
    </row>
    <row r="50">
      <c r="A50" s="8" t="n">
        <v>6</v>
      </c>
      <c r="B50" s="15" t="n">
        <v>28400</v>
      </c>
      <c r="C50" s="15" t="n">
        <v>41629</v>
      </c>
      <c r="D50" s="13" t="n">
        <v>0.349</v>
      </c>
      <c r="E50" s="17">
        <f>D50-D49</f>
        <v/>
      </c>
    </row>
    <row r="51">
      <c r="A51" s="8" t="n">
        <v>7</v>
      </c>
      <c r="B51" s="15" t="n">
        <v>41629</v>
      </c>
      <c r="C51" s="15" t="n">
        <v>44987</v>
      </c>
      <c r="D51" s="13" t="n">
        <v>0.431</v>
      </c>
      <c r="E51" s="17">
        <f>D51-D50</f>
        <v/>
      </c>
    </row>
    <row r="52">
      <c r="A52" s="8" t="n">
        <v>8</v>
      </c>
      <c r="B52" s="15" t="n">
        <v>44987</v>
      </c>
      <c r="C52" s="15" t="n">
        <v>83696</v>
      </c>
      <c r="D52" s="13" t="n">
        <v>0.446</v>
      </c>
      <c r="E52" s="17">
        <f>D52-D51</f>
        <v/>
      </c>
    </row>
    <row r="53">
      <c r="A53" s="8" t="n">
        <v>9</v>
      </c>
      <c r="B53" s="15" t="n">
        <v>83696</v>
      </c>
      <c r="C53" s="18" t="inlineStr">
        <is>
          <t>sem limite</t>
        </is>
      </c>
      <c r="D53" s="13" t="n">
        <v>0.48</v>
      </c>
      <c r="E53" s="17">
        <f>D53-D52</f>
        <v/>
      </c>
    </row>
    <row r="55">
      <c r="A55" s="2" t="inlineStr">
        <is>
          <t>Taxa adicional de solidariedade (art. 68.º-A CIRS)</t>
        </is>
      </c>
      <c r="B55" s="7" t="n"/>
      <c r="C55" s="7" t="n"/>
      <c r="D55" s="7" t="n"/>
      <c r="E55" s="7" t="n"/>
    </row>
    <row r="56" ht="28" customHeight="1">
      <c r="A56" s="6" t="inlineStr">
        <is>
          <t>Escalão</t>
        </is>
      </c>
      <c r="B56" s="6" t="inlineStr">
        <is>
          <t>Limite inferior</t>
        </is>
      </c>
      <c r="C56" s="6" t="inlineStr">
        <is>
          <t>Limite superior</t>
        </is>
      </c>
      <c r="D56" s="6" t="inlineStr">
        <is>
          <t>Taxa</t>
        </is>
      </c>
      <c r="E56" s="6" t="inlineStr">
        <is>
          <t>Delta (calculado)</t>
        </is>
      </c>
    </row>
    <row r="57">
      <c r="A57" s="8" t="n">
        <v>1</v>
      </c>
      <c r="B57" s="15" t="n">
        <v>80000</v>
      </c>
      <c r="C57" s="15" t="n">
        <v>250000</v>
      </c>
      <c r="D57" s="13" t="n">
        <v>0.025</v>
      </c>
      <c r="E57" s="17">
        <f>D57</f>
        <v/>
      </c>
    </row>
    <row r="58">
      <c r="A58" s="8" t="n">
        <v>2</v>
      </c>
      <c r="B58" s="15" t="n">
        <v>250000</v>
      </c>
      <c r="C58" s="18" t="inlineStr">
        <is>
          <t>sem limite</t>
        </is>
      </c>
      <c r="D58" s="13" t="n">
        <v>0.05</v>
      </c>
      <c r="E58" s="17">
        <f>D58-D57</f>
        <v/>
      </c>
    </row>
    <row r="60">
      <c r="A60" s="9" t="inlineStr">
        <is>
          <t>Legenda: células a azul sobre fundo amarelo são de preenchimento; tudo o resto é fórmula. Nenhuma taxa deve ser escrita dentro de uma fórmula noutra folha — se faltar um parâmetro, acrescenta-se aqui.</t>
        </is>
      </c>
    </row>
  </sheetData>
  <mergeCells count="2">
    <mergeCell ref="A60:E60"/>
    <mergeCell ref="A43:E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14" customWidth="1" min="3" max="3"/>
    <col width="14" customWidth="1" min="4" max="4"/>
    <col width="14" customWidth="1" min="5" max="5"/>
    <col width="52" customWidth="1" min="6" max="6"/>
  </cols>
  <sheetData>
    <row r="1">
      <c r="A1" s="1" t="inlineStr">
        <is>
          <t>M1 — Inputs (folha única de parâmetros do caso)</t>
        </is>
      </c>
    </row>
    <row r="2" ht="46" customHeight="1">
      <c r="A2" s="19" t="inlineStr">
        <is>
          <t>ATENÇÃO: à data de 22/08/2026 a cliente não forneceu nenhum dos inputs da secção 4 do brief. Todos os valores abaixo são ILUSTRATIVOS, servem apenas para testar o motor de cálculo, e estão registados como pressupostos em R1. Nenhum número desta folha pode transitar para o relatório enquanto não for substituído por dados da cliente.</t>
        </is>
      </c>
    </row>
    <row r="4" ht="28" customHeight="1">
      <c r="A4" s="6" t="inlineStr">
        <is>
          <t>Input</t>
        </is>
      </c>
      <c r="B4" s="6" t="inlineStr">
        <is>
          <t>Referência</t>
        </is>
      </c>
      <c r="C4" s="6" t="inlineStr">
        <is>
          <t>Baixo</t>
        </is>
      </c>
      <c r="D4" s="6" t="inlineStr">
        <is>
          <t>Base</t>
        </is>
      </c>
      <c r="E4" s="6" t="inlineStr">
        <is>
          <t>Alto</t>
        </is>
      </c>
      <c r="F4" s="6" t="inlineStr">
        <is>
          <t>Nota / origem</t>
        </is>
      </c>
    </row>
    <row r="5">
      <c r="A5" s="2" t="inlineStr">
        <is>
          <t>Faturação</t>
        </is>
      </c>
      <c r="B5" s="7" t="n"/>
      <c r="C5" s="7" t="n"/>
      <c r="D5" s="7" t="n"/>
      <c r="E5" s="7" t="n"/>
      <c r="F5" s="7" t="n"/>
    </row>
    <row r="6">
      <c r="A6" s="8" t="inlineStr">
        <is>
          <t>Faturação anual de fisioterapia (isenta, art. 9.º CIVA)</t>
        </is>
      </c>
      <c r="B6" s="9" t="inlineStr">
        <is>
          <t>FAT</t>
        </is>
      </c>
      <c r="C6" s="15" t="n">
        <v>70000</v>
      </c>
      <c r="D6" s="15" t="n">
        <v>95000</v>
      </c>
      <c r="E6" s="15" t="n">
        <v>130000</v>
      </c>
      <c r="F6" s="20" t="inlineStr">
        <is>
          <t>Input cliente 1 — EM FALTA. Placeholder ancorado na referência de ~80.000 € da ata.</t>
        </is>
      </c>
    </row>
    <row r="7">
      <c r="A7" s="8" t="inlineStr">
        <is>
          <t>Faturação anual sujeita a IVA dentro da sociedade (atividade do cônjuge)</t>
        </is>
      </c>
      <c r="B7" s="9" t="inlineStr">
        <is>
          <t>FAT_TRIB</t>
        </is>
      </c>
      <c r="C7" s="15" t="n">
        <v>0</v>
      </c>
      <c r="D7" s="15" t="n">
        <v>0</v>
      </c>
      <c r="E7" s="15" t="n">
        <v>0</v>
      </c>
      <c r="F7" s="20" t="inlineStr">
        <is>
          <t>Input cliente 6 — EM FALTA. Só relevante na via 4 e no cenário de sujeito passivo misto.</t>
        </is>
      </c>
    </row>
    <row r="8">
      <c r="A8" s="2" t="inlineStr">
        <is>
          <t>Custos operacionais anuais</t>
        </is>
      </c>
      <c r="B8" s="7" t="n"/>
      <c r="C8" s="7" t="n"/>
      <c r="D8" s="7" t="n"/>
      <c r="E8" s="7" t="n"/>
      <c r="F8" s="7" t="n"/>
    </row>
    <row r="9">
      <c r="A9" s="8" t="inlineStr">
        <is>
          <t>Renda do espaço</t>
        </is>
      </c>
      <c r="B9" s="9" t="inlineStr">
        <is>
          <t>RENDA</t>
        </is>
      </c>
      <c r="C9" s="15" t="n">
        <v>12000</v>
      </c>
      <c r="D9" s="15" t="n">
        <v>14400</v>
      </c>
      <c r="E9" s="15" t="n">
        <v>18000</v>
      </c>
      <c r="F9" s="20" t="inlineStr">
        <is>
          <t>Input cliente 3 — EM FALTA. Baixo/Base = 2 gabinetes; Alto = 3 gabinetes.</t>
        </is>
      </c>
    </row>
    <row r="10">
      <c r="A10" s="8" t="inlineStr">
        <is>
          <t>Condomínio e encargos do espaço</t>
        </is>
      </c>
      <c r="B10" s="9" t="inlineStr">
        <is>
          <t>CONDOM</t>
        </is>
      </c>
      <c r="C10" s="15" t="n">
        <v>1200</v>
      </c>
      <c r="D10" s="15" t="n">
        <v>1500</v>
      </c>
      <c r="E10" s="15" t="n">
        <v>1800</v>
      </c>
      <c r="F10" s="20" t="inlineStr">
        <is>
          <t>Input cliente 3 — EM FALTA.</t>
        </is>
      </c>
    </row>
    <row r="11">
      <c r="A11" s="8" t="inlineStr">
        <is>
          <t>Seguros (RC profissional, multirriscos)</t>
        </is>
      </c>
      <c r="B11" s="9" t="inlineStr">
        <is>
          <t>SEGUROS</t>
        </is>
      </c>
      <c r="C11" s="15" t="n">
        <v>900</v>
      </c>
      <c r="D11" s="15" t="n">
        <v>1100</v>
      </c>
      <c r="E11" s="15" t="n">
        <v>1400</v>
      </c>
      <c r="F11" s="20" t="inlineStr">
        <is>
          <t>EM FALTA.</t>
        </is>
      </c>
    </row>
    <row r="12">
      <c r="A12" s="8" t="inlineStr">
        <is>
          <t>Software de gestão e faturação</t>
        </is>
      </c>
      <c r="B12" s="9" t="inlineStr">
        <is>
          <t>SOFTW</t>
        </is>
      </c>
      <c r="C12" s="15" t="n">
        <v>600</v>
      </c>
      <c r="D12" s="15" t="n">
        <v>900</v>
      </c>
      <c r="E12" s="15" t="n">
        <v>1200</v>
      </c>
      <c r="F12" s="20" t="inlineStr">
        <is>
          <t>EM FALTA.</t>
        </is>
      </c>
    </row>
    <row r="13">
      <c r="A13" s="8" t="inlineStr">
        <is>
          <t>Consumíveis clínicos</t>
        </is>
      </c>
      <c r="B13" s="9" t="inlineStr">
        <is>
          <t>CONSUM</t>
        </is>
      </c>
      <c r="C13" s="15" t="n">
        <v>2100</v>
      </c>
      <c r="D13" s="15" t="n">
        <v>2850</v>
      </c>
      <c r="E13" s="15" t="n">
        <v>3900</v>
      </c>
      <c r="F13" s="20" t="inlineStr">
        <is>
          <t>EM FALTA. Placeholder a 3% da faturação.</t>
        </is>
      </c>
    </row>
    <row r="14">
      <c r="A14" s="8" t="inlineStr">
        <is>
          <t>Outros custos operacionais</t>
        </is>
      </c>
      <c r="B14" s="9" t="inlineStr">
        <is>
          <t>OUTROS</t>
        </is>
      </c>
      <c r="C14" s="15" t="n">
        <v>1500</v>
      </c>
      <c r="D14" s="15" t="n">
        <v>2000</v>
      </c>
      <c r="E14" s="15" t="n">
        <v>2500</v>
      </c>
      <c r="F14" s="20" t="inlineStr">
        <is>
          <t>EM FALTA.</t>
        </is>
      </c>
    </row>
    <row r="15">
      <c r="A15" s="8" t="inlineStr">
        <is>
          <t>Honorários a fisioterapeutas a integrar (total anual)</t>
        </is>
      </c>
      <c r="B15" s="9" t="inlineStr">
        <is>
          <t>HONOR</t>
        </is>
      </c>
      <c r="C15" s="15" t="n">
        <v>18000</v>
      </c>
      <c r="D15" s="15" t="n">
        <v>30000</v>
      </c>
      <c r="E15" s="15" t="n">
        <v>45000</v>
      </c>
      <c r="F15" s="20" t="inlineStr">
        <is>
          <t>Input cliente 5 — EM FALTA. Variável crítica: é o que separa faturação de margem (ata, ponto 6).</t>
        </is>
      </c>
    </row>
    <row r="16">
      <c r="A16" s="8" t="inlineStr">
        <is>
          <t>N.º de fisioterapeutas a integrar</t>
        </is>
      </c>
      <c r="B16" s="9" t="inlineStr">
        <is>
          <t>N_FISIO</t>
        </is>
      </c>
      <c r="C16" s="14" t="n">
        <v>1</v>
      </c>
      <c r="D16" s="14" t="n">
        <v>1</v>
      </c>
      <c r="E16" s="14" t="n">
        <v>2</v>
      </c>
      <c r="F16" s="16" t="inlineStr">
        <is>
          <t>Ata, ponto 3.</t>
        </is>
      </c>
    </row>
    <row r="17">
      <c r="A17" s="2" t="inlineStr">
        <is>
          <t>Investimento inicial (valores sem IVA)</t>
        </is>
      </c>
      <c r="B17" s="7" t="n"/>
      <c r="C17" s="7" t="n"/>
      <c r="D17" s="7" t="n"/>
      <c r="E17" s="7" t="n"/>
      <c r="F17" s="7" t="n"/>
    </row>
    <row r="18">
      <c r="A18" s="8" t="inlineStr">
        <is>
          <t>Obras e adaptação do espaço</t>
        </is>
      </c>
      <c r="B18" s="9" t="inlineStr">
        <is>
          <t>INV_OBRAS</t>
        </is>
      </c>
      <c r="C18" s="15" t="n">
        <v>15000</v>
      </c>
      <c r="D18" s="15" t="n">
        <v>25000</v>
      </c>
      <c r="E18" s="15" t="n">
        <v>40000</v>
      </c>
      <c r="F18" s="20" t="inlineStr">
        <is>
          <t>Input cliente 4 — EM FALTA.</t>
        </is>
      </c>
    </row>
    <row r="19">
      <c r="A19" s="8" t="inlineStr">
        <is>
          <t>Equipamento clínico à taxa normal</t>
        </is>
      </c>
      <c r="B19" s="9" t="inlineStr">
        <is>
          <t>INV_EQUIP</t>
        </is>
      </c>
      <c r="C19" s="15" t="n">
        <v>12000</v>
      </c>
      <c r="D19" s="15" t="n">
        <v>20000</v>
      </c>
      <c r="E19" s="15" t="n">
        <v>30000</v>
      </c>
      <c r="F19" s="20" t="inlineStr">
        <is>
          <t>Input cliente 4 — EM FALTA.</t>
        </is>
      </c>
    </row>
    <row r="20">
      <c r="A20" s="8" t="inlineStr">
        <is>
          <t>Equipamento clínico elegível para taxa reduzida</t>
        </is>
      </c>
      <c r="B20" s="9" t="inlineStr">
        <is>
          <t>INV_EQUIP_R</t>
        </is>
      </c>
      <c r="C20" s="15" t="n">
        <v>0</v>
      </c>
      <c r="D20" s="15" t="n">
        <v>0</v>
      </c>
      <c r="E20" s="15" t="n">
        <v>0</v>
      </c>
      <c r="F20" s="16" t="inlineStr">
        <is>
          <t>A confirmar contra as verbas 2.5 e 2.6 da Lista I do CIVA. Se houver elegibilidade, reduz a base do problema de IVA.</t>
        </is>
      </c>
    </row>
    <row r="21">
      <c r="A21" s="8" t="inlineStr">
        <is>
          <t>Software e sistemas</t>
        </is>
      </c>
      <c r="B21" s="9" t="inlineStr">
        <is>
          <t>INV_SOFT</t>
        </is>
      </c>
      <c r="C21" s="15" t="n">
        <v>1500</v>
      </c>
      <c r="D21" s="15" t="n">
        <v>2000</v>
      </c>
      <c r="E21" s="15" t="n">
        <v>3000</v>
      </c>
      <c r="F21" s="20" t="inlineStr">
        <is>
          <t>EM FALTA.</t>
        </is>
      </c>
    </row>
    <row r="22">
      <c r="A22" s="2" t="inlineStr">
        <is>
          <t>Vias societárias (3 e 4)</t>
        </is>
      </c>
      <c r="B22" s="7" t="n"/>
      <c r="C22" s="7" t="n"/>
      <c r="D22" s="7" t="n"/>
      <c r="E22" s="7" t="n"/>
      <c r="F22" s="7" t="n"/>
    </row>
    <row r="23">
      <c r="A23" s="8" t="inlineStr">
        <is>
          <t>Remuneração anual bruta de gerência</t>
        </is>
      </c>
      <c r="B23" s="9" t="inlineStr">
        <is>
          <t>REM_GER</t>
        </is>
      </c>
      <c r="C23" s="15" t="n">
        <v>14000</v>
      </c>
      <c r="D23" s="15" t="n">
        <v>16800</v>
      </c>
      <c r="E23" s="15" t="n">
        <v>20000</v>
      </c>
      <c r="F23" s="16" t="inlineStr">
        <is>
          <t>Variável de decisão, não dado da cliente. Testar sensibilidade.</t>
        </is>
      </c>
    </row>
    <row r="24">
      <c r="A24" s="8" t="inlineStr">
        <is>
          <t>Tributações autónomas estimadas (anual)</t>
        </is>
      </c>
      <c r="B24" s="9" t="inlineStr">
        <is>
          <t>TA_EST</t>
        </is>
      </c>
      <c r="C24" s="15" t="n">
        <v>500</v>
      </c>
      <c r="D24" s="15" t="n">
        <v>800</v>
      </c>
      <c r="E24" s="15" t="n">
        <v>1200</v>
      </c>
      <c r="F24" s="16" t="inlineStr">
        <is>
          <t>A quantificar pela Fiscalidade em função de viatura e despesas de representação.</t>
        </is>
      </c>
    </row>
    <row r="25">
      <c r="A25" s="8" t="inlineStr">
        <is>
          <t>Política de distribuição de resultados (% do lucro após imposto)</t>
        </is>
      </c>
      <c r="B25" s="9" t="inlineStr">
        <is>
          <t>POL_DIST</t>
        </is>
      </c>
      <c r="C25" s="12" t="n">
        <v>1</v>
      </c>
      <c r="D25" s="12" t="n">
        <v>1</v>
      </c>
      <c r="E25" s="12" t="n">
        <v>1</v>
      </c>
      <c r="F25" s="16" t="inlineStr">
        <is>
          <t>ALAVANCA. Testar 0% / 50% / 100% — é aqui que se decide se afastar a transparência compensa.</t>
        </is>
      </c>
    </row>
    <row r="26">
      <c r="A26" s="8" t="inlineStr">
        <is>
          <t>% do capital social detida pelo cônjuge</t>
        </is>
      </c>
      <c r="B26" s="9" t="inlineStr">
        <is>
          <t>PCT_CONJ</t>
        </is>
      </c>
      <c r="C26" s="12" t="n">
        <v>0.26</v>
      </c>
      <c r="D26" s="12" t="n">
        <v>0.26</v>
      </c>
      <c r="E26" s="12" t="n">
        <v>0.26</v>
      </c>
      <c r="F26" s="16" t="inlineStr">
        <is>
          <t>Só via 4. Tem de exceder 25% para afastar o teste de capital do art. 6.º n.º 4 al. b) ii) CIRC. Ver N1.</t>
        </is>
      </c>
    </row>
    <row r="27">
      <c r="A27" s="2" t="inlineStr">
        <is>
          <t>Agregado familiar (IRS)</t>
        </is>
      </c>
      <c r="B27" s="7" t="n"/>
      <c r="C27" s="7" t="n"/>
      <c r="D27" s="7" t="n"/>
      <c r="E27" s="7" t="n"/>
      <c r="F27" s="7" t="n"/>
    </row>
    <row r="28">
      <c r="A28" s="8" t="inlineStr">
        <is>
          <t>Rendimento anual do cônjuge fora da estrutura (líquido de deduções específicas)</t>
        </is>
      </c>
      <c r="B28" s="9" t="inlineStr">
        <is>
          <t>REND_CONJ</t>
        </is>
      </c>
      <c r="C28" s="15" t="n">
        <v>14000</v>
      </c>
      <c r="D28" s="15" t="n">
        <v>18000</v>
      </c>
      <c r="E28" s="15" t="n">
        <v>22000</v>
      </c>
      <c r="F28" s="20" t="inlineStr">
        <is>
          <t>Input cliente 6 e 7 — EM FALTA.</t>
        </is>
      </c>
    </row>
    <row r="29">
      <c r="A29" s="8" t="inlineStr">
        <is>
          <t>Opção por tributação conjunta (1 = sim / 0 = não)</t>
        </is>
      </c>
      <c r="B29" s="9" t="inlineStr">
        <is>
          <t>CONJUNTA</t>
        </is>
      </c>
      <c r="C29" s="14" t="n">
        <v>1</v>
      </c>
      <c r="D29" s="14" t="n">
        <v>1</v>
      </c>
      <c r="E29" s="14" t="n">
        <v>1</v>
      </c>
      <c r="F29" s="20" t="inlineStr">
        <is>
          <t>Input cliente 7 — EM FALTA.</t>
        </is>
      </c>
    </row>
    <row r="30">
      <c r="A30" s="8" t="inlineStr">
        <is>
          <t>N.º de dependentes</t>
        </is>
      </c>
      <c r="B30" s="9" t="inlineStr">
        <is>
          <t>N_DEP</t>
        </is>
      </c>
      <c r="C30" s="14" t="n">
        <v>0</v>
      </c>
      <c r="D30" s="14" t="n">
        <v>0</v>
      </c>
      <c r="E30" s="14" t="n">
        <v>0</v>
      </c>
      <c r="F30" s="20" t="inlineStr">
        <is>
          <t>Input cliente 7 — EM FALTA.</t>
        </is>
      </c>
    </row>
    <row r="31">
      <c r="A31" s="8" t="inlineStr">
        <is>
          <t>Deduções à coleta estimadas do agregado</t>
        </is>
      </c>
      <c r="B31" s="9" t="inlineStr">
        <is>
          <t>DED_COL</t>
        </is>
      </c>
      <c r="C31" s="15" t="n">
        <v>500</v>
      </c>
      <c r="D31" s="15" t="n">
        <v>500</v>
      </c>
      <c r="E31" s="15" t="n">
        <v>500</v>
      </c>
      <c r="F31" s="20" t="inlineStr">
        <is>
          <t>EM FALTA. Não afeta a comparação entre vias (cancela-se no diferencial), afeta o IRS total.</t>
        </is>
      </c>
    </row>
    <row r="33">
      <c r="A33" s="21" t="inlineStr">
        <is>
          <t>Exemplo de preenchimento correto — linha ilustrativa</t>
        </is>
      </c>
    </row>
    <row r="34">
      <c r="A34" s="9" t="inlineStr">
        <is>
          <t>Faturação anual de fisioterapia</t>
        </is>
      </c>
      <c r="C34" s="22" t="n">
        <v>70000</v>
      </c>
      <c r="D34" s="22" t="n">
        <v>95000</v>
      </c>
      <c r="E34" s="22" t="n">
        <v>130000</v>
      </c>
      <c r="F34" s="9" t="inlineStr">
        <is>
          <t>Formato esperado: valor anual, em euros, sem IVA, número puro sem texto.</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1 — ENI, regime simplificado (situação atual)</t>
        </is>
      </c>
    </row>
    <row r="2" ht="40" customHeight="1">
      <c r="A2" s="19" t="inlineStr">
        <is>
          <t>Enquadramento atual da cliente (ata, ponto 2). O ponto em teste é o do art. 31.º n.º 13 CIRS: com custos reais elevados, o coeficiente deixa de cobrir as despesas e ainda há acréscimo por insuficiência de justificação.</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Categoria B — regime simplificado</t>
        </is>
      </c>
      <c r="B5" s="7" t="n"/>
      <c r="C5" s="7" t="n"/>
      <c r="D5" s="7" t="n"/>
      <c r="E5" s="7" t="n"/>
      <c r="F5" s="7" t="n"/>
    </row>
    <row r="6">
      <c r="A6" s="8" t="inlineStr">
        <is>
          <t>Faturação bruta da categoria B</t>
        </is>
      </c>
      <c r="B6" s="9" t="inlineStr">
        <is>
          <t>FAT</t>
        </is>
      </c>
      <c r="C6" s="23">
        <f>Inputs!$C$6</f>
        <v/>
      </c>
      <c r="D6" s="23">
        <f>Inputs!$D$6</f>
        <v/>
      </c>
      <c r="E6" s="23">
        <f>Inputs!$E$6</f>
        <v/>
      </c>
      <c r="F6" s="16" t="inlineStr"/>
    </row>
    <row r="7">
      <c r="A7" s="8" t="inlineStr">
        <is>
          <t>Coeficiente aplicável</t>
        </is>
      </c>
      <c r="B7" s="9" t="inlineStr">
        <is>
          <t>COEF</t>
        </is>
      </c>
      <c r="C7" s="24">
        <f>Parametros!$C$15</f>
        <v/>
      </c>
      <c r="D7" s="24">
        <f>Parametros!$C$15</f>
        <v/>
      </c>
      <c r="E7" s="24">
        <f>Parametros!$C$15</f>
        <v/>
      </c>
      <c r="F7" s="16" t="inlineStr">
        <is>
          <t>Art. 31.º n.º 1 al. b) CIRS. Fisioterapeutas constam da tabela do art. 151.º — o coeficiente 0,35 não é aplicável.</t>
        </is>
      </c>
    </row>
    <row r="8">
      <c r="A8" s="8" t="inlineStr">
        <is>
          <t>Rendimento tributável pelo coeficiente</t>
        </is>
      </c>
      <c r="B8" s="9" t="inlineStr">
        <is>
          <t>RT_COEF</t>
        </is>
      </c>
      <c r="C8" s="25">
        <f>$C$6*$C$7</f>
        <v/>
      </c>
      <c r="D8" s="25">
        <f>$D$6*$D$7</f>
        <v/>
      </c>
      <c r="E8" s="25">
        <f>$E$6*$E$7</f>
        <v/>
      </c>
      <c r="F8" s="16" t="inlineStr"/>
    </row>
    <row r="9">
      <c r="A9" s="8" t="inlineStr">
        <is>
          <t>Limiar de justificação de despesas (15% do rendimento bruto)</t>
        </is>
      </c>
      <c r="B9" s="9" t="inlineStr">
        <is>
          <t>LIMIAR</t>
        </is>
      </c>
      <c r="C9" s="25">
        <f>$C$6*Parametros!$C$16</f>
        <v/>
      </c>
      <c r="D9" s="25">
        <f>$D$6*Parametros!$C$16</f>
        <v/>
      </c>
      <c r="E9" s="25">
        <f>$E$6*Parametros!$C$16</f>
        <v/>
      </c>
      <c r="F9" s="16" t="inlineStr">
        <is>
          <t>Art. 31.º n.º 13 CIRS.</t>
        </is>
      </c>
    </row>
    <row r="10">
      <c r="A10" s="8" t="inlineStr">
        <is>
          <t>Despesas justificáveis — dedução específica</t>
        </is>
      </c>
      <c r="B10" s="9" t="inlineStr">
        <is>
          <t>D_ESP</t>
        </is>
      </c>
      <c r="C10" s="23">
        <f>Parametros!$C$17</f>
        <v/>
      </c>
      <c r="D10" s="23">
        <f>Parametros!$C$17</f>
        <v/>
      </c>
      <c r="E10" s="23">
        <f>Parametros!$C$17</f>
        <v/>
      </c>
      <c r="F10" s="16" t="inlineStr"/>
    </row>
    <row r="11">
      <c r="A11" s="8" t="inlineStr">
        <is>
          <t>Despesas justificáveis — rendas do imóvel afeto</t>
        </is>
      </c>
      <c r="B11" s="9" t="inlineStr">
        <is>
          <t>D_RENDA</t>
        </is>
      </c>
      <c r="C11" s="23">
        <f>Inputs!$C$9</f>
        <v/>
      </c>
      <c r="D11" s="23">
        <f>Inputs!$D$9</f>
        <v/>
      </c>
      <c r="E11" s="23">
        <f>Inputs!$E$9</f>
        <v/>
      </c>
      <c r="F11" s="16" t="inlineStr">
        <is>
          <t>Art. 31.º n.º 13 al. c) CIRS.</t>
        </is>
      </c>
    </row>
    <row r="12">
      <c r="A12" s="8" t="inlineStr">
        <is>
          <t>Despesas justificáveis — aquisição de bens e serviços</t>
        </is>
      </c>
      <c r="B12" s="9" t="inlineStr">
        <is>
          <t>D_BENS</t>
        </is>
      </c>
      <c r="C12" s="23">
        <f>Inputs!$C$10+Inputs!$C$11+Inputs!$C$12+Inputs!$C$13+Inputs!$C$14+Inputs!$C$15</f>
        <v/>
      </c>
      <c r="D12" s="23">
        <f>Inputs!$D$10+Inputs!$D$11+Inputs!$D$12+Inputs!$D$13+Inputs!$D$14+Inputs!$D$15</f>
        <v/>
      </c>
      <c r="E12" s="23">
        <f>Inputs!$E$10+Inputs!$E$11+Inputs!$E$12+Inputs!$E$13+Inputs!$E$14+Inputs!$E$15</f>
        <v/>
      </c>
      <c r="F12" s="16" t="inlineStr">
        <is>
          <t>Art. 31.º n.º 13 al. e) CIRS. Inclui os honorários pagos aos fisioterapeutas.</t>
        </is>
      </c>
    </row>
    <row r="13">
      <c r="A13" s="8" t="inlineStr">
        <is>
          <t>Despesas justificáveis — aquisições de investimento do ano</t>
        </is>
      </c>
      <c r="B13" s="9" t="inlineStr">
        <is>
          <t>D_INV</t>
        </is>
      </c>
      <c r="C13" s="23">
        <f>Inputs!$C$18+Inputs!$C$19+Inputs!$C$20+Inputs!$C$21</f>
        <v/>
      </c>
      <c r="D13" s="23">
        <f>Inputs!$D$18+Inputs!$D$19+Inputs!$D$20+Inputs!$D$21</f>
        <v/>
      </c>
      <c r="E13" s="23">
        <f>Inputs!$E$18+Inputs!$E$19+Inputs!$E$20+Inputs!$E$21</f>
        <v/>
      </c>
      <c r="F13" s="16" t="inlineStr">
        <is>
          <t>A CONFIRMAR pela Fiscalidade: elegibilidade e grau de afetação das aquisições de investimento para efeitos do art. 31.º n.º 13 al. e). Efeito de ano 1 apenas. Ver R1-08.</t>
        </is>
      </c>
    </row>
    <row r="14">
      <c r="A14" s="26" t="inlineStr">
        <is>
          <t>Total de despesas justificadas</t>
        </is>
      </c>
      <c r="B14" s="9" t="inlineStr">
        <is>
          <t>D_TOT</t>
        </is>
      </c>
      <c r="C14" s="27">
        <f>SUM($C$10:$C$13)</f>
        <v/>
      </c>
      <c r="D14" s="27">
        <f>SUM($D$10:$D$13)</f>
        <v/>
      </c>
      <c r="E14" s="27">
        <f>SUM($E$10:$E$13)</f>
        <v/>
      </c>
      <c r="F14" s="16" t="inlineStr"/>
    </row>
    <row r="15">
      <c r="A15" s="8" t="inlineStr">
        <is>
          <t>Acréscimo por insuficiência de justificação</t>
        </is>
      </c>
      <c r="B15" s="9" t="inlineStr">
        <is>
          <t>ACRESC</t>
        </is>
      </c>
      <c r="C15" s="25">
        <f>MAX(0,$C$9-$C$14)</f>
        <v/>
      </c>
      <c r="D15" s="25">
        <f>MAX(0,$D$9-$D$14)</f>
        <v/>
      </c>
      <c r="E15" s="25">
        <f>MAX(0,$E$9-$E$14)</f>
        <v/>
      </c>
      <c r="F15" s="16" t="inlineStr">
        <is>
          <t>Art. 31.º n.º 13 CIRS: acresce ao rendimento tributável a diferença positiva.</t>
        </is>
      </c>
    </row>
    <row r="16">
      <c r="A16" s="8" t="inlineStr">
        <is>
          <t>Rendimento da categoria B antes da dedução de contribuições</t>
        </is>
      </c>
      <c r="B16" s="9" t="inlineStr">
        <is>
          <t>RB_CATB</t>
        </is>
      </c>
      <c r="C16" s="25">
        <f>$C$8+$C$15</f>
        <v/>
      </c>
      <c r="D16" s="25">
        <f>$D$8+$D$15</f>
        <v/>
      </c>
      <c r="E16" s="25">
        <f>$E$8+$E$15</f>
        <v/>
      </c>
      <c r="F16" s="16" t="inlineStr"/>
    </row>
    <row r="17">
      <c r="A17" s="2" t="inlineStr">
        <is>
          <t>Segurança Social — trabalhador independente</t>
        </is>
      </c>
      <c r="B17" s="7" t="n"/>
      <c r="C17" s="7" t="n"/>
      <c r="D17" s="7" t="n"/>
      <c r="E17" s="7" t="n"/>
      <c r="F17" s="7" t="n"/>
    </row>
    <row r="18">
      <c r="A18" s="8" t="inlineStr">
        <is>
          <t>Rendimento relevante</t>
        </is>
      </c>
      <c r="B18" s="9" t="inlineStr">
        <is>
          <t>SS_REL</t>
        </is>
      </c>
      <c r="C18" s="25">
        <f>$C$6*Parametros!$C$7</f>
        <v/>
      </c>
      <c r="D18" s="25">
        <f>$D$6*Parametros!$C$7</f>
        <v/>
      </c>
      <c r="E18" s="25">
        <f>$E$6*Parametros!$C$7</f>
        <v/>
      </c>
      <c r="F18" s="16" t="inlineStr">
        <is>
          <t>Art. 162.º Cód. Contributivo: 70% do valor das prestações de serviços.</t>
        </is>
      </c>
    </row>
    <row r="19">
      <c r="A19" s="8" t="inlineStr">
        <is>
          <t>Base de incidência anual, limitada ao teto</t>
        </is>
      </c>
      <c r="B19" s="9" t="inlineStr">
        <is>
          <t>SS_BASE</t>
        </is>
      </c>
      <c r="C19" s="25">
        <f>MIN($C$18,Parametros!$C$6*Parametros!$C$9*12)</f>
        <v/>
      </c>
      <c r="D19" s="25">
        <f>MIN($D$18,Parametros!$C$6*Parametros!$C$9*12)</f>
        <v/>
      </c>
      <c r="E19" s="25">
        <f>MIN($E$18,Parametros!$C$6*Parametros!$C$9*12)</f>
        <v/>
      </c>
      <c r="F19" s="16" t="inlineStr">
        <is>
          <t>Teto mensal de 12 x IAS.</t>
        </is>
      </c>
    </row>
    <row r="20">
      <c r="A20" s="26" t="inlineStr">
        <is>
          <t>Contribuição anual para a Segurança Social</t>
        </is>
      </c>
      <c r="B20" s="9" t="inlineStr">
        <is>
          <t>SS_CONTR</t>
        </is>
      </c>
      <c r="C20" s="27">
        <f>MAX($C$19*Parametros!$C$8,Parametros!$C$10*12)</f>
        <v/>
      </c>
      <c r="D20" s="27">
        <f>MAX($D$19*Parametros!$C$8,Parametros!$C$10*12)</f>
        <v/>
      </c>
      <c r="E20" s="27">
        <f>MAX($E$19*Parametros!$C$8,Parametros!$C$10*12)</f>
        <v/>
      </c>
      <c r="F20" s="16" t="inlineStr">
        <is>
          <t>Bloco ausente da ata. Na via 1 a base é a faturação bruta, não a margem — é aqui que está o maior diferencial entre as vias.</t>
        </is>
      </c>
    </row>
    <row r="21">
      <c r="A21" s="8" t="inlineStr">
        <is>
          <t>Parte dedutível em IRS</t>
        </is>
      </c>
      <c r="B21" s="9" t="inlineStr">
        <is>
          <t>SS_DED</t>
        </is>
      </c>
      <c r="C21" s="25">
        <f>MAX(0,$C$20-$C$6*Parametros!$C$18)</f>
        <v/>
      </c>
      <c r="D21" s="25">
        <f>MAX(0,$D$20-$D$6*Parametros!$C$18)</f>
        <v/>
      </c>
      <c r="E21" s="25">
        <f>MAX(0,$E$20-$E$6*Parametros!$C$18)</f>
        <v/>
      </c>
      <c r="F21" s="16" t="inlineStr">
        <is>
          <t>Art. 31.º n.º 2 CIRS: dedutível apenas na parte que excede 10% do rendimento bruto.</t>
        </is>
      </c>
    </row>
    <row r="22">
      <c r="A22" s="26" t="inlineStr">
        <is>
          <t>Rendimento líquido da categoria B</t>
        </is>
      </c>
      <c r="B22" s="9" t="inlineStr">
        <is>
          <t>RL_CATB</t>
        </is>
      </c>
      <c r="C22" s="27">
        <f>$C$16-$C$21</f>
        <v/>
      </c>
      <c r="D22" s="27">
        <f>$D$16-$D$21</f>
        <v/>
      </c>
      <c r="E22" s="27">
        <f>$E$16-$E$21</f>
        <v/>
      </c>
      <c r="F22" s="16" t="inlineStr"/>
    </row>
    <row r="23">
      <c r="A23" s="2" t="inlineStr">
        <is>
          <t>IRS do agregado</t>
        </is>
      </c>
      <c r="B23" s="7" t="n"/>
      <c r="C23" s="7" t="n"/>
      <c r="D23" s="7" t="n"/>
      <c r="E23" s="7" t="n"/>
      <c r="F23" s="7" t="n"/>
    </row>
    <row r="24">
      <c r="A24" s="26" t="inlineStr">
        <is>
          <t>Rendimento da sócia sujeito a englobamento</t>
        </is>
      </c>
      <c r="B24" s="9" t="inlineStr">
        <is>
          <t>R_JUL</t>
        </is>
      </c>
      <c r="C24" s="27">
        <f>$C$22</f>
        <v/>
      </c>
      <c r="D24" s="27">
        <f>$D$22</f>
        <v/>
      </c>
      <c r="E24" s="27">
        <f>$E$22</f>
        <v/>
      </c>
      <c r="F24" s="16" t="inlineStr">
        <is>
          <t>Só categoria B. Não há remuneração de gerência nesta via.</t>
        </is>
      </c>
    </row>
    <row r="25">
      <c r="A25" s="8" t="inlineStr">
        <is>
          <t>Rendimento do cônjuge fora da estrutura</t>
        </is>
      </c>
      <c r="B25" s="9" t="inlineStr">
        <is>
          <t>R_CONJ</t>
        </is>
      </c>
      <c r="C25" s="23">
        <f>Inputs!$C$28</f>
        <v/>
      </c>
      <c r="D25" s="23">
        <f>Inputs!$D$28</f>
        <v/>
      </c>
      <c r="E25" s="23">
        <f>Inputs!$E$28</f>
        <v/>
      </c>
      <c r="F25" s="16" t="inlineStr"/>
    </row>
    <row r="26">
      <c r="A26" s="8" t="inlineStr">
        <is>
          <t>Rendimento coletável do agregado — com a atividade</t>
        </is>
      </c>
      <c r="B26" s="9" t="inlineStr">
        <is>
          <t>RC_COM</t>
        </is>
      </c>
      <c r="C26" s="25">
        <f>$C$24+$C$25</f>
        <v/>
      </c>
      <c r="D26" s="25">
        <f>$D$24+$D$25</f>
        <v/>
      </c>
      <c r="E26" s="25">
        <f>$E$24+$E$25</f>
        <v/>
      </c>
      <c r="F26" s="16" t="inlineStr"/>
    </row>
    <row r="27">
      <c r="A27" s="8" t="inlineStr">
        <is>
          <t>Rendimento coletável do agregado — sem a atividade</t>
        </is>
      </c>
      <c r="B27" s="9" t="inlineStr">
        <is>
          <t>RC_SEM</t>
        </is>
      </c>
      <c r="C27" s="25">
        <f>$C$25</f>
        <v/>
      </c>
      <c r="D27" s="25">
        <f>$D$25</f>
        <v/>
      </c>
      <c r="E27" s="25">
        <f>$E$25</f>
        <v/>
      </c>
      <c r="F27" s="16" t="inlineStr">
        <is>
          <t>Contrafactual. O diferencial entre as duas coletas é o IRS realmente imputável à atividade e é o que torna as quatro vias comparáveis.</t>
        </is>
      </c>
    </row>
    <row r="28">
      <c r="A28" s="8" t="inlineStr">
        <is>
          <t>Coleta com a atividade (incl. taxa adicional de solidariedade)</t>
        </is>
      </c>
      <c r="B28" s="9" t="inlineStr">
        <is>
          <t>COL_COM</t>
        </is>
      </c>
      <c r="C28" s="25">
        <f>IF(Inputs!$C$29=1,2*(SUMPRODUCT((($C$26/2)&gt;Parametros!$B$45:$B$53)*(($C$26/2)-Parametros!$B$45:$B$53)*Parametros!$E$45:$E$53)+SUMPRODUCT((($C$26/2)&gt;Parametros!$B$57:$B$58)*(($C$26/2)-Parametros!$B$57:$B$58)*Parametros!$E$57:$E$58)),SUMPRODUCT(($C$26&gt;Parametros!$B$45:$B$53)*($C$26-Parametros!$B$45:$B$53)*Parametros!$E$45:$E$53)+SUMPRODUCT(($C$26&gt;Parametros!$B$57:$B$58)*($C$26-Parametros!$B$57:$B$58)*Parametros!$E$57:$E$58))</f>
        <v/>
      </c>
      <c r="D28" s="25">
        <f>IF(Inputs!$D$29=1,2*(SUMPRODUCT((($D$26/2)&gt;Parametros!$B$45:$B$53)*(($D$26/2)-Parametros!$B$45:$B$53)*Parametros!$E$45:$E$53)+SUMPRODUCT((($D$26/2)&gt;Parametros!$B$57:$B$58)*(($D$26/2)-Parametros!$B$57:$B$58)*Parametros!$E$57:$E$58)),SUMPRODUCT(($D$26&gt;Parametros!$B$45:$B$53)*($D$26-Parametros!$B$45:$B$53)*Parametros!$E$45:$E$53)+SUMPRODUCT(($D$26&gt;Parametros!$B$57:$B$58)*($D$26-Parametros!$B$57:$B$58)*Parametros!$E$57:$E$58))</f>
        <v/>
      </c>
      <c r="E28" s="25">
        <f>IF(Inputs!$E$29=1,2*(SUMPRODUCT((($E$26/2)&gt;Parametros!$B$45:$B$53)*(($E$26/2)-Parametros!$B$45:$B$53)*Parametros!$E$45:$E$53)+SUMPRODUCT((($E$26/2)&gt;Parametros!$B$57:$B$58)*(($E$26/2)-Parametros!$B$57:$B$58)*Parametros!$E$57:$E$58)),SUMPRODUCT(($E$26&gt;Parametros!$B$45:$B$53)*($E$26-Parametros!$B$45:$B$53)*Parametros!$E$45:$E$53)+SUMPRODUCT(($E$26&gt;Parametros!$B$57:$B$58)*($E$26-Parametros!$B$57:$B$58)*Parametros!$E$57:$E$58))</f>
        <v/>
      </c>
      <c r="F28" s="16" t="inlineStr">
        <is>
          <t>Escalões e quociente conjugal na folha Parâmetros. Art. 68.º, 68.º-A e 69.º CIRS.</t>
        </is>
      </c>
    </row>
    <row r="29">
      <c r="A29" s="8" t="inlineStr">
        <is>
          <t>Coleta sem a atividade</t>
        </is>
      </c>
      <c r="B29" s="9" t="inlineStr">
        <is>
          <t>COL_SEM</t>
        </is>
      </c>
      <c r="C29" s="25">
        <f>IF(Inputs!$C$29=1,2*(SUMPRODUCT((($C$27/2)&gt;Parametros!$B$45:$B$53)*(($C$27/2)-Parametros!$B$45:$B$53)*Parametros!$E$45:$E$53)+SUMPRODUCT((($C$27/2)&gt;Parametros!$B$57:$B$58)*(($C$27/2)-Parametros!$B$57:$B$58)*Parametros!$E$57:$E$58)),SUMPRODUCT(($C$27&gt;Parametros!$B$45:$B$53)*($C$27-Parametros!$B$45:$B$53)*Parametros!$E$45:$E$53)+SUMPRODUCT(($C$27&gt;Parametros!$B$57:$B$58)*($C$27-Parametros!$B$57:$B$58)*Parametros!$E$57:$E$58))</f>
        <v/>
      </c>
      <c r="D29" s="25">
        <f>IF(Inputs!$D$29=1,2*(SUMPRODUCT((($D$27/2)&gt;Parametros!$B$45:$B$53)*(($D$27/2)-Parametros!$B$45:$B$53)*Parametros!$E$45:$E$53)+SUMPRODUCT((($D$27/2)&gt;Parametros!$B$57:$B$58)*(($D$27/2)-Parametros!$B$57:$B$58)*Parametros!$E$57:$E$58)),SUMPRODUCT(($D$27&gt;Parametros!$B$45:$B$53)*($D$27-Parametros!$B$45:$B$53)*Parametros!$E$45:$E$53)+SUMPRODUCT(($D$27&gt;Parametros!$B$57:$B$58)*($D$27-Parametros!$B$57:$B$58)*Parametros!$E$57:$E$58))</f>
        <v/>
      </c>
      <c r="E29" s="25">
        <f>IF(Inputs!$E$29=1,2*(SUMPRODUCT((($E$27/2)&gt;Parametros!$B$45:$B$53)*(($E$27/2)-Parametros!$B$45:$B$53)*Parametros!$E$45:$E$53)+SUMPRODUCT((($E$27/2)&gt;Parametros!$B$57:$B$58)*(($E$27/2)-Parametros!$B$57:$B$58)*Parametros!$E$57:$E$58)),SUMPRODUCT(($E$27&gt;Parametros!$B$45:$B$53)*($E$27-Parametros!$B$45:$B$53)*Parametros!$E$45:$E$53)+SUMPRODUCT(($E$27&gt;Parametros!$B$57:$B$58)*($E$27-Parametros!$B$57:$B$58)*Parametros!$E$57:$E$58))</f>
        <v/>
      </c>
      <c r="F29" s="16" t="inlineStr"/>
    </row>
    <row r="30">
      <c r="A30" s="26" t="inlineStr">
        <is>
          <t>IRS imputável à atividade</t>
        </is>
      </c>
      <c r="B30" s="9" t="inlineStr">
        <is>
          <t>IRS_ATIV</t>
        </is>
      </c>
      <c r="C30" s="27">
        <f>$C$28-$C$29</f>
        <v/>
      </c>
      <c r="D30" s="27">
        <f>$D$28-$D$29</f>
        <v/>
      </c>
      <c r="E30" s="27">
        <f>$E$28-$E$29</f>
        <v/>
      </c>
      <c r="F30" s="16" t="inlineStr"/>
    </row>
    <row r="31">
      <c r="A31" s="8" t="inlineStr">
        <is>
          <t>IRS total do agregado, após deduções à coleta (memória)</t>
        </is>
      </c>
      <c r="B31" s="9" t="inlineStr">
        <is>
          <t>IRS_TOT</t>
        </is>
      </c>
      <c r="C31" s="25">
        <f>MAX(0,$C$28-Inputs!$C$31)</f>
        <v/>
      </c>
      <c r="D31" s="25">
        <f>MAX(0,$D$28-Inputs!$D$31)</f>
        <v/>
      </c>
      <c r="E31" s="25">
        <f>MAX(0,$E$28-Inputs!$E$31)</f>
        <v/>
      </c>
      <c r="F31" s="16" t="inlineStr">
        <is>
          <t>Não entra na comparação entre vias; serve para o enquadramento do capítulo 3.</t>
        </is>
      </c>
    </row>
    <row r="32">
      <c r="A32" s="2" t="inlineStr">
        <is>
          <t>Resultado</t>
        </is>
      </c>
      <c r="B32" s="7" t="n"/>
      <c r="C32" s="7" t="n"/>
      <c r="D32" s="7" t="n"/>
      <c r="E32" s="7" t="n"/>
      <c r="F32" s="7" t="n"/>
    </row>
    <row r="33">
      <c r="A33" s="26" t="inlineStr">
        <is>
          <t>Caixa gerada pela atividade, antes de impostos e contribuições</t>
        </is>
      </c>
      <c r="B33" s="9" t="inlineStr">
        <is>
          <t>CAIXA</t>
        </is>
      </c>
      <c r="C33" s="27">
        <f>Inputs!$C$6+Inputs!$C$7-(Inputs!$C$9+Inputs!$C$10+Inputs!$C$11+Inputs!$C$12+Inputs!$C$13+Inputs!$C$14+Inputs!$C$15)</f>
        <v/>
      </c>
      <c r="D33" s="27">
        <f>Inputs!$D$6+Inputs!$D$7-(Inputs!$D$9+Inputs!$D$10+Inputs!$D$11+Inputs!$D$12+Inputs!$D$13+Inputs!$D$14+Inputs!$D$15)</f>
        <v/>
      </c>
      <c r="E33" s="27">
        <f>Inputs!$E$6+Inputs!$E$7-(Inputs!$E$9+Inputs!$E$10+Inputs!$E$11+Inputs!$E$12+Inputs!$E$13+Inputs!$E$14+Inputs!$E$15)</f>
        <v/>
      </c>
      <c r="F33" s="16" t="inlineStr">
        <is>
          <t>Caixa gerada pela atividade, igual nas quatro vias por construção. Exclui o investimento inicial, que é um efeito de ano 1 e está isolado na folha IVA e na linha própria abaixo.</t>
        </is>
      </c>
    </row>
    <row r="34">
      <c r="A34" s="26" t="inlineStr">
        <is>
          <t>Total de impostos e contribuições</t>
        </is>
      </c>
      <c r="B34" s="9" t="inlineStr">
        <is>
          <t>CARGA</t>
        </is>
      </c>
      <c r="C34" s="27">
        <f>$C$30+$C$20</f>
        <v/>
      </c>
      <c r="D34" s="27">
        <f>$D$30+$D$20</f>
        <v/>
      </c>
      <c r="E34" s="27">
        <f>$E$30+$E$20</f>
        <v/>
      </c>
      <c r="F34" s="16" t="inlineStr">
        <is>
          <t>IRS imputável à atividade + contribuições para a Segurança Social.</t>
        </is>
      </c>
    </row>
    <row r="35">
      <c r="A35" s="8" t="inlineStr">
        <is>
          <t>Taxa de esforço efetiva sobre a caixa gerada</t>
        </is>
      </c>
      <c r="B35" s="9" t="inlineStr">
        <is>
          <t>TAXA_EF</t>
        </is>
      </c>
      <c r="C35" s="28">
        <f>IF($C$33&lt;=0,0,$C$34/$C$33)</f>
        <v/>
      </c>
      <c r="D35" s="28">
        <f>IF($D$33&lt;=0,0,$D$34/$D$33)</f>
        <v/>
      </c>
      <c r="E35" s="28">
        <f>IF($E$33&lt;=0,0,$E$34/$E$33)</f>
        <v/>
      </c>
      <c r="F35" s="16" t="inlineStr"/>
    </row>
    <row r="36">
      <c r="A36" s="8" t="inlineStr">
        <is>
          <t>Valor retido na sociedade (não disponibilizado à sócia)</t>
        </is>
      </c>
      <c r="B36" s="9" t="inlineStr">
        <is>
          <t>RETIDO</t>
        </is>
      </c>
      <c r="C36" s="25">
        <f>0</f>
        <v/>
      </c>
      <c r="D36" s="25">
        <f>0</f>
        <v/>
      </c>
      <c r="E36" s="25">
        <f>0</f>
        <v/>
      </c>
      <c r="F36" s="16" t="inlineStr"/>
    </row>
    <row r="37">
      <c r="A37" s="8" t="inlineStr">
        <is>
          <t>Valor atribuído ao cônjuge por via de dividendos, líquido</t>
        </is>
      </c>
      <c r="B37" s="9" t="inlineStr">
        <is>
          <t>LIQ_CJ</t>
        </is>
      </c>
      <c r="C37" s="25">
        <f>0</f>
        <v/>
      </c>
      <c r="D37" s="25">
        <f>0</f>
        <v/>
      </c>
      <c r="E37" s="25">
        <f>0</f>
        <v/>
      </c>
      <c r="F37" s="16" t="inlineStr">
        <is>
          <t>Só via 4. É uma transferência real de rendimento dentro do agregado e tem de ser explicitada — não é indiferente à sócia.</t>
        </is>
      </c>
    </row>
    <row r="38">
      <c r="A38" s="26" t="inlineStr">
        <is>
          <t>LÍQUIDO DISPONÍVEL PARA A SÓCIA</t>
        </is>
      </c>
      <c r="B38" s="9" t="inlineStr">
        <is>
          <t>LIQ_SOC</t>
        </is>
      </c>
      <c r="C38" s="27">
        <f>$C$33-$C$34-$C$36-$C$37</f>
        <v/>
      </c>
      <c r="D38" s="27">
        <f>$D$33-$D$34-$D$36-$D$37</f>
        <v/>
      </c>
      <c r="E38" s="27">
        <f>$E$33-$E$34-$E$36-$E$37</f>
        <v/>
      </c>
      <c r="F38" s="16" t="inlineStr"/>
    </row>
    <row r="39">
      <c r="A39" s="26" t="inlineStr">
        <is>
          <t>LÍQUIDO DISPONÍVEL PARA O AGREGADO</t>
        </is>
      </c>
      <c r="B39" s="9" t="inlineStr">
        <is>
          <t>LIQ_AGR</t>
        </is>
      </c>
      <c r="C39" s="27">
        <f>$C$38+$C$37</f>
        <v/>
      </c>
      <c r="D39" s="27">
        <f>$D$38+$D$37</f>
        <v/>
      </c>
      <c r="E39" s="27">
        <f>$E$38+$E$37</f>
        <v/>
      </c>
      <c r="F39" s="16" t="inlineStr"/>
    </row>
    <row r="40">
      <c r="A40" s="8" t="inlineStr">
        <is>
          <t>Memória — investimento e IVA não dedutível suportados no ano 1</t>
        </is>
      </c>
      <c r="B40" s="9" t="inlineStr">
        <is>
          <t>INV_A1</t>
        </is>
      </c>
      <c r="C40" s="25">
        <f>Inputs!$C$18+Inputs!$C$19+Inputs!$C$20+Inputs!$C$21</f>
        <v/>
      </c>
      <c r="D40" s="25">
        <f>Inputs!$D$18+Inputs!$D$19+Inputs!$D$20+Inputs!$D$21</f>
        <v/>
      </c>
      <c r="E40" s="25">
        <f>Inputs!$E$18+Inputs!$E$19+Inputs!$E$20+Inputs!$E$21</f>
        <v/>
      </c>
      <c r="F40" s="16" t="inlineStr">
        <is>
          <t>Excluído da comparação anual acima. Quantificação do IVA na folha IVA.</t>
        </is>
      </c>
    </row>
  </sheetData>
  <mergeCells count="1">
    <mergeCell ref="A2:F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2 — ENI com opção por contabilidade organizada</t>
        </is>
      </c>
    </row>
    <row r="2" ht="40" customHeight="1">
      <c r="A2" s="19" t="inlineStr">
        <is>
          <t>Mantém o ENI e passa a deduzir os custos efetivos. Duas consequências que a ata não quantificou: a base de incidência da Segurança Social deixa de ser 70% da faturação e passa a ser o lucro tributável, e a opção vincula por 3 anos.</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do lucro tributável</t>
        </is>
      </c>
      <c r="B5" s="7" t="n"/>
      <c r="C5" s="7" t="n"/>
      <c r="D5" s="7" t="n"/>
      <c r="E5" s="7" t="n"/>
      <c r="F5" s="7" t="n"/>
    </row>
    <row r="6">
      <c r="A6" s="8" t="inlineStr">
        <is>
          <t>Faturação bruta</t>
        </is>
      </c>
      <c r="B6" s="9" t="inlineStr">
        <is>
          <t>FAT</t>
        </is>
      </c>
      <c r="C6" s="23">
        <f>Inputs!$C$6</f>
        <v/>
      </c>
      <c r="D6" s="23">
        <f>Inputs!$D$6</f>
        <v/>
      </c>
      <c r="E6" s="23">
        <f>Inputs!$E$6</f>
        <v/>
      </c>
      <c r="F6" s="16" t="inlineStr"/>
    </row>
    <row r="7">
      <c r="A7" s="8" t="inlineStr">
        <is>
          <t>Custos operacionais dedutíveis (excl. honorários)</t>
        </is>
      </c>
      <c r="B7" s="9" t="inlineStr">
        <is>
          <t>C_OP</t>
        </is>
      </c>
      <c r="C7" s="23">
        <f>Inputs!$C$9+Inputs!$C$10+Inputs!$C$11+Inputs!$C$12+Inputs!$C$13+Inputs!$C$14</f>
        <v/>
      </c>
      <c r="D7" s="23">
        <f>Inputs!$D$9+Inputs!$D$10+Inputs!$D$11+Inputs!$D$12+Inputs!$D$13+Inputs!$D$14</f>
        <v/>
      </c>
      <c r="E7" s="23">
        <f>Inputs!$E$9+Inputs!$E$10+Inputs!$E$11+Inputs!$E$12+Inputs!$E$13+Inputs!$E$14</f>
        <v/>
      </c>
      <c r="F7" s="16" t="inlineStr"/>
    </row>
    <row r="8">
      <c r="A8" s="8" t="inlineStr">
        <is>
          <t>Honorários a fisioterapeutas</t>
        </is>
      </c>
      <c r="B8" s="9" t="inlineStr">
        <is>
          <t>C_HON</t>
        </is>
      </c>
      <c r="C8" s="23">
        <f>Inputs!$C$15</f>
        <v/>
      </c>
      <c r="D8" s="23">
        <f>Inputs!$D$15</f>
        <v/>
      </c>
      <c r="E8" s="23">
        <f>Inputs!$E$15</f>
        <v/>
      </c>
      <c r="F8" s="16" t="inlineStr">
        <is>
          <t>Dedutíveis como custo da atividade (ata, ponto 4). Sujeitos ao risco de requalificação tratado na fase 2 do P1.</t>
        </is>
      </c>
    </row>
    <row r="9">
      <c r="A9" s="8" t="inlineStr">
        <is>
          <t>Amortizações do exercício</t>
        </is>
      </c>
      <c r="B9" s="9" t="inlineStr">
        <is>
          <t>AMORT</t>
        </is>
      </c>
      <c r="C9" s="25">
        <f>Inputs!$C$18*Parametros!$C$34+(Inputs!$C$19+Inputs!$C$20)*Parametros!$C$35+Inputs!$C$21*Parametros!$C$36</f>
        <v/>
      </c>
      <c r="D9" s="25">
        <f>Inputs!$D$18*Parametros!$C$34+(Inputs!$D$19+Inputs!$D$20)*Parametros!$C$35+Inputs!$D$21*Parametros!$C$36</f>
        <v/>
      </c>
      <c r="E9" s="25">
        <f>Inputs!$E$18*Parametros!$C$34+(Inputs!$E$19+Inputs!$E$20)*Parametros!$C$35+Inputs!$E$21*Parametros!$C$36</f>
        <v/>
      </c>
      <c r="F9" s="16" t="inlineStr">
        <is>
          <t>Taxas na folha Parâmetros. Obras em imóvel alheio: confirmar se o período do contrato de arrendamento é inferior ao decorrente da taxa.</t>
        </is>
      </c>
    </row>
    <row r="10">
      <c r="A10" s="26" t="inlineStr">
        <is>
          <t>Lucro tributável antes de contribuições</t>
        </is>
      </c>
      <c r="B10" s="9" t="inlineStr">
        <is>
          <t>LT_ANTES</t>
        </is>
      </c>
      <c r="C10" s="27">
        <f>$C$6-$C$7-$C$8-$C$9</f>
        <v/>
      </c>
      <c r="D10" s="27">
        <f>$D$6-$D$7-$D$8-$D$9</f>
        <v/>
      </c>
      <c r="E10" s="27">
        <f>$E$6-$E$7-$E$8-$E$9</f>
        <v/>
      </c>
      <c r="F10" s="16" t="inlineStr"/>
    </row>
    <row r="11">
      <c r="A11" s="2" t="inlineStr">
        <is>
          <t>Segurança Social — trabalhador independente com contabilidade organizada</t>
        </is>
      </c>
      <c r="B11" s="7" t="n"/>
      <c r="C11" s="7" t="n"/>
      <c r="D11" s="7" t="n"/>
      <c r="E11" s="7" t="n"/>
      <c r="F11" s="7" t="n"/>
    </row>
    <row r="12">
      <c r="A12" s="8" t="inlineStr">
        <is>
          <t>Base de incidência anual, limitada ao teto</t>
        </is>
      </c>
      <c r="B12" s="9" t="inlineStr">
        <is>
          <t>SS_BASE</t>
        </is>
      </c>
      <c r="C12" s="25">
        <f>MIN(MAX($C$10,0),Parametros!$C$6*Parametros!$C$9*12)</f>
        <v/>
      </c>
      <c r="D12" s="25">
        <f>MIN(MAX($D$10,0),Parametros!$C$6*Parametros!$C$9*12)</f>
        <v/>
      </c>
      <c r="E12" s="25">
        <f>MIN(MAX($E$10,0),Parametros!$C$6*Parametros!$C$9*12)</f>
        <v/>
      </c>
      <c r="F12" s="16" t="inlineStr">
        <is>
          <t>Art. 162.º n.º 3 Cód. Contributivo: com contabilidade organizada o rendimento relevante é o lucro tributável, não 70% da faturação. CONFIRMAR (R1-12). Modelado em regime de cruzeiro: no primeiro ano a base é a declarada no início de atividade.</t>
        </is>
      </c>
    </row>
    <row r="13">
      <c r="A13" s="26" t="inlineStr">
        <is>
          <t>Contribuição anual para a Segurança Social</t>
        </is>
      </c>
      <c r="B13" s="9" t="inlineStr">
        <is>
          <t>SS_CONTR</t>
        </is>
      </c>
      <c r="C13" s="27">
        <f>MAX($C$12*Parametros!$C$8,Parametros!$C$10*12)</f>
        <v/>
      </c>
      <c r="D13" s="27">
        <f>MAX($D$12*Parametros!$C$8,Parametros!$C$10*12)</f>
        <v/>
      </c>
      <c r="E13" s="27">
        <f>MAX($E$12*Parametros!$C$8,Parametros!$C$10*12)</f>
        <v/>
      </c>
      <c r="F13" s="16" t="inlineStr"/>
    </row>
    <row r="14">
      <c r="A14" s="26" t="inlineStr">
        <is>
          <t>Lucro tributável após dedução das contribuições</t>
        </is>
      </c>
      <c r="B14" s="9" t="inlineStr">
        <is>
          <t>LT</t>
        </is>
      </c>
      <c r="C14" s="27">
        <f>MAX(0,$C$10-$C$13)</f>
        <v/>
      </c>
      <c r="D14" s="27">
        <f>MAX(0,$D$10-$D$13)</f>
        <v/>
      </c>
      <c r="E14" s="27">
        <f>MAX(0,$E$10-$E$13)</f>
        <v/>
      </c>
      <c r="F14" s="16" t="inlineStr">
        <is>
          <t>Contribuições obrigatórias dedutíveis na totalidade nesta via, ao contrário do art. 31.º n.º 2.</t>
        </is>
      </c>
    </row>
    <row r="15">
      <c r="A15" s="2" t="inlineStr">
        <is>
          <t>IRS do agregado</t>
        </is>
      </c>
      <c r="B15" s="7" t="n"/>
      <c r="C15" s="7" t="n"/>
      <c r="D15" s="7" t="n"/>
      <c r="E15" s="7" t="n"/>
      <c r="F15" s="7" t="n"/>
    </row>
    <row r="16">
      <c r="A16" s="26" t="inlineStr">
        <is>
          <t>Rendimento da sócia sujeito a englobamento</t>
        </is>
      </c>
      <c r="B16" s="9" t="inlineStr">
        <is>
          <t>R_JUL</t>
        </is>
      </c>
      <c r="C16" s="27">
        <f>$C$14</f>
        <v/>
      </c>
      <c r="D16" s="27">
        <f>$D$14</f>
        <v/>
      </c>
      <c r="E16" s="27">
        <f>$E$14</f>
        <v/>
      </c>
      <c r="F16" s="16" t="inlineStr">
        <is>
          <t>Lucro tributável real. Não há dedução específica de 4.104 € nesta via.</t>
        </is>
      </c>
    </row>
    <row r="17">
      <c r="A17" s="8" t="inlineStr">
        <is>
          <t>Rendimento do cônjuge fora da estrutura</t>
        </is>
      </c>
      <c r="B17" s="9" t="inlineStr">
        <is>
          <t>R_CONJ</t>
        </is>
      </c>
      <c r="C17" s="23">
        <f>Inputs!$C$28</f>
        <v/>
      </c>
      <c r="D17" s="23">
        <f>Inputs!$D$28</f>
        <v/>
      </c>
      <c r="E17" s="23">
        <f>Inputs!$E$28</f>
        <v/>
      </c>
      <c r="F17" s="16" t="inlineStr"/>
    </row>
    <row r="18">
      <c r="A18" s="8" t="inlineStr">
        <is>
          <t>Rendimento coletável do agregado — com a atividade</t>
        </is>
      </c>
      <c r="B18" s="9" t="inlineStr">
        <is>
          <t>RC_COM</t>
        </is>
      </c>
      <c r="C18" s="25">
        <f>$C$16+$C$17</f>
        <v/>
      </c>
      <c r="D18" s="25">
        <f>$D$16+$D$17</f>
        <v/>
      </c>
      <c r="E18" s="25">
        <f>$E$16+$E$17</f>
        <v/>
      </c>
      <c r="F18" s="16" t="inlineStr"/>
    </row>
    <row r="19">
      <c r="A19" s="8" t="inlineStr">
        <is>
          <t>Rendimento coletável do agregado — sem a atividade</t>
        </is>
      </c>
      <c r="B19" s="9" t="inlineStr">
        <is>
          <t>RC_SEM</t>
        </is>
      </c>
      <c r="C19" s="25">
        <f>$C$17</f>
        <v/>
      </c>
      <c r="D19" s="25">
        <f>$D$17</f>
        <v/>
      </c>
      <c r="E19" s="25">
        <f>$E$17</f>
        <v/>
      </c>
      <c r="F19" s="16" t="inlineStr">
        <is>
          <t>Contrafactual. O diferencial entre as duas coletas é o IRS realmente imputável à atividade e é o que torna as quatro vias comparáveis.</t>
        </is>
      </c>
    </row>
    <row r="20">
      <c r="A20" s="8" t="inlineStr">
        <is>
          <t>Coleta com a atividade (incl. taxa adicional de solidariedade)</t>
        </is>
      </c>
      <c r="B20" s="9" t="inlineStr">
        <is>
          <t>COL_COM</t>
        </is>
      </c>
      <c r="C20" s="25">
        <f>IF(Inputs!$C$29=1,2*(SUMPRODUCT((($C$18/2)&gt;Parametros!$B$45:$B$53)*(($C$18/2)-Parametros!$B$45:$B$53)*Parametros!$E$45:$E$53)+SUMPRODUCT((($C$18/2)&gt;Parametros!$B$57:$B$58)*(($C$18/2)-Parametros!$B$57:$B$58)*Parametros!$E$57:$E$58)),SUMPRODUCT(($C$18&gt;Parametros!$B$45:$B$53)*($C$18-Parametros!$B$45:$B$53)*Parametros!$E$45:$E$53)+SUMPRODUCT(($C$18&gt;Parametros!$B$57:$B$58)*($C$18-Parametros!$B$57:$B$58)*Parametros!$E$57:$E$58))</f>
        <v/>
      </c>
      <c r="D20" s="25">
        <f>IF(Inputs!$D$29=1,2*(SUMPRODUCT((($D$18/2)&gt;Parametros!$B$45:$B$53)*(($D$18/2)-Parametros!$B$45:$B$53)*Parametros!$E$45:$E$53)+SUMPRODUCT((($D$18/2)&gt;Parametros!$B$57:$B$58)*(($D$18/2)-Parametros!$B$57:$B$58)*Parametros!$E$57:$E$58)),SUMPRODUCT(($D$18&gt;Parametros!$B$45:$B$53)*($D$18-Parametros!$B$45:$B$53)*Parametros!$E$45:$E$53)+SUMPRODUCT(($D$18&gt;Parametros!$B$57:$B$58)*($D$18-Parametros!$B$57:$B$58)*Parametros!$E$57:$E$58))</f>
        <v/>
      </c>
      <c r="E20" s="25">
        <f>IF(Inputs!$E$29=1,2*(SUMPRODUCT((($E$18/2)&gt;Parametros!$B$45:$B$53)*(($E$18/2)-Parametros!$B$45:$B$53)*Parametros!$E$45:$E$53)+SUMPRODUCT((($E$18/2)&gt;Parametros!$B$57:$B$58)*(($E$18/2)-Parametros!$B$57:$B$58)*Parametros!$E$57:$E$58)),SUMPRODUCT(($E$18&gt;Parametros!$B$45:$B$53)*($E$18-Parametros!$B$45:$B$53)*Parametros!$E$45:$E$53)+SUMPRODUCT(($E$18&gt;Parametros!$B$57:$B$58)*($E$18-Parametros!$B$57:$B$58)*Parametros!$E$57:$E$58))</f>
        <v/>
      </c>
      <c r="F20" s="16" t="inlineStr">
        <is>
          <t>Escalões e quociente conjugal na folha Parâmetros. Art. 68.º, 68.º-A e 69.º CIRS.</t>
        </is>
      </c>
    </row>
    <row r="21">
      <c r="A21" s="8" t="inlineStr">
        <is>
          <t>Coleta sem a atividade</t>
        </is>
      </c>
      <c r="B21" s="9" t="inlineStr">
        <is>
          <t>COL_SEM</t>
        </is>
      </c>
      <c r="C21" s="25">
        <f>IF(Inputs!$C$29=1,2*(SUMPRODUCT((($C$19/2)&gt;Parametros!$B$45:$B$53)*(($C$19/2)-Parametros!$B$45:$B$53)*Parametros!$E$45:$E$53)+SUMPRODUCT((($C$19/2)&gt;Parametros!$B$57:$B$58)*(($C$19/2)-Parametros!$B$57:$B$58)*Parametros!$E$57:$E$58)),SUMPRODUCT(($C$19&gt;Parametros!$B$45:$B$53)*($C$19-Parametros!$B$45:$B$53)*Parametros!$E$45:$E$53)+SUMPRODUCT(($C$19&gt;Parametros!$B$57:$B$58)*($C$19-Parametros!$B$57:$B$58)*Parametros!$E$57:$E$58))</f>
        <v/>
      </c>
      <c r="D21" s="25">
        <f>IF(Inputs!$D$29=1,2*(SUMPRODUCT((($D$19/2)&gt;Parametros!$B$45:$B$53)*(($D$19/2)-Parametros!$B$45:$B$53)*Parametros!$E$45:$E$53)+SUMPRODUCT((($D$19/2)&gt;Parametros!$B$57:$B$58)*(($D$19/2)-Parametros!$B$57:$B$58)*Parametros!$E$57:$E$58)),SUMPRODUCT(($D$19&gt;Parametros!$B$45:$B$53)*($D$19-Parametros!$B$45:$B$53)*Parametros!$E$45:$E$53)+SUMPRODUCT(($D$19&gt;Parametros!$B$57:$B$58)*($D$19-Parametros!$B$57:$B$58)*Parametros!$E$57:$E$58))</f>
        <v/>
      </c>
      <c r="E21" s="25">
        <f>IF(Inputs!$E$29=1,2*(SUMPRODUCT((($E$19/2)&gt;Parametros!$B$45:$B$53)*(($E$19/2)-Parametros!$B$45:$B$53)*Parametros!$E$45:$E$53)+SUMPRODUCT((($E$19/2)&gt;Parametros!$B$57:$B$58)*(($E$19/2)-Parametros!$B$57:$B$58)*Parametros!$E$57:$E$58)),SUMPRODUCT(($E$19&gt;Parametros!$B$45:$B$53)*($E$19-Parametros!$B$45:$B$53)*Parametros!$E$45:$E$53)+SUMPRODUCT(($E$19&gt;Parametros!$B$57:$B$58)*($E$19-Parametros!$B$57:$B$58)*Parametros!$E$57:$E$58))</f>
        <v/>
      </c>
      <c r="F21" s="16" t="inlineStr"/>
    </row>
    <row r="22">
      <c r="A22" s="26" t="inlineStr">
        <is>
          <t>IRS imputável à atividade</t>
        </is>
      </c>
      <c r="B22" s="9" t="inlineStr">
        <is>
          <t>IRS_ATIV</t>
        </is>
      </c>
      <c r="C22" s="27">
        <f>$C$20-$C$21</f>
        <v/>
      </c>
      <c r="D22" s="27">
        <f>$D$20-$D$21</f>
        <v/>
      </c>
      <c r="E22" s="27">
        <f>$E$20-$E$21</f>
        <v/>
      </c>
      <c r="F22" s="16" t="inlineStr"/>
    </row>
    <row r="23">
      <c r="A23" s="8" t="inlineStr">
        <is>
          <t>IRS total do agregado, após deduções à coleta (memória)</t>
        </is>
      </c>
      <c r="B23" s="9" t="inlineStr">
        <is>
          <t>IRS_TOT</t>
        </is>
      </c>
      <c r="C23" s="25">
        <f>MAX(0,$C$20-Inputs!$C$31)</f>
        <v/>
      </c>
      <c r="D23" s="25">
        <f>MAX(0,$D$20-Inputs!$D$31)</f>
        <v/>
      </c>
      <c r="E23" s="25">
        <f>MAX(0,$E$20-Inputs!$E$31)</f>
        <v/>
      </c>
      <c r="F23" s="16" t="inlineStr">
        <is>
          <t>Não entra na comparação entre vias; serve para o enquadramento do capítulo 3.</t>
        </is>
      </c>
    </row>
    <row r="24">
      <c r="A24" s="2" t="inlineStr">
        <is>
          <t>Resultado</t>
        </is>
      </c>
      <c r="B24" s="7" t="n"/>
      <c r="C24" s="7" t="n"/>
      <c r="D24" s="7" t="n"/>
      <c r="E24" s="7" t="n"/>
      <c r="F24" s="7" t="n"/>
    </row>
    <row r="25">
      <c r="A25" s="26" t="inlineStr">
        <is>
          <t>Caixa gerada pela atividade, antes de impostos e contribuições</t>
        </is>
      </c>
      <c r="B25" s="9" t="inlineStr">
        <is>
          <t>CAIXA</t>
        </is>
      </c>
      <c r="C25" s="27">
        <f>Inputs!$C$6+Inputs!$C$7-(Inputs!$C$9+Inputs!$C$10+Inputs!$C$11+Inputs!$C$12+Inputs!$C$13+Inputs!$C$14+Inputs!$C$15)</f>
        <v/>
      </c>
      <c r="D25" s="27">
        <f>Inputs!$D$6+Inputs!$D$7-(Inputs!$D$9+Inputs!$D$10+Inputs!$D$11+Inputs!$D$12+Inputs!$D$13+Inputs!$D$14+Inputs!$D$15)</f>
        <v/>
      </c>
      <c r="E25" s="27">
        <f>Inputs!$E$6+Inputs!$E$7-(Inputs!$E$9+Inputs!$E$10+Inputs!$E$11+Inputs!$E$12+Inputs!$E$13+Inputs!$E$14+Inputs!$E$15)</f>
        <v/>
      </c>
      <c r="F25" s="16" t="inlineStr">
        <is>
          <t>Caixa gerada pela atividade, igual nas quatro vias por construção. Exclui o investimento inicial, que é um efeito de ano 1 e está isolado na folha IVA e na linha própria abaixo.</t>
        </is>
      </c>
    </row>
    <row r="26">
      <c r="A26" s="26" t="inlineStr">
        <is>
          <t>Total de impostos e contribuições</t>
        </is>
      </c>
      <c r="B26" s="9" t="inlineStr">
        <is>
          <t>CARGA</t>
        </is>
      </c>
      <c r="C26" s="27">
        <f>$C$22+$C$13</f>
        <v/>
      </c>
      <c r="D26" s="27">
        <f>$D$22+$D$13</f>
        <v/>
      </c>
      <c r="E26" s="27">
        <f>$E$22+$E$13</f>
        <v/>
      </c>
      <c r="F26" s="16" t="inlineStr">
        <is>
          <t>IRS imputável à atividade + contribuições para a Segurança Social.</t>
        </is>
      </c>
    </row>
    <row r="27">
      <c r="A27" s="8" t="inlineStr">
        <is>
          <t>Taxa de esforço efetiva sobre a caixa gerada</t>
        </is>
      </c>
      <c r="B27" s="9" t="inlineStr">
        <is>
          <t>TAXA_EF</t>
        </is>
      </c>
      <c r="C27" s="28">
        <f>IF($C$25&lt;=0,0,$C$26/$C$25)</f>
        <v/>
      </c>
      <c r="D27" s="28">
        <f>IF($D$25&lt;=0,0,$D$26/$D$25)</f>
        <v/>
      </c>
      <c r="E27" s="28">
        <f>IF($E$25&lt;=0,0,$E$26/$E$25)</f>
        <v/>
      </c>
      <c r="F27" s="16" t="inlineStr"/>
    </row>
    <row r="28">
      <c r="A28" s="8" t="inlineStr">
        <is>
          <t>Valor retido na sociedade (não disponibilizado à sócia)</t>
        </is>
      </c>
      <c r="B28" s="9" t="inlineStr">
        <is>
          <t>RETIDO</t>
        </is>
      </c>
      <c r="C28" s="25">
        <f>0</f>
        <v/>
      </c>
      <c r="D28" s="25">
        <f>0</f>
        <v/>
      </c>
      <c r="E28" s="25">
        <f>0</f>
        <v/>
      </c>
      <c r="F28" s="16" t="inlineStr"/>
    </row>
    <row r="29">
      <c r="A29" s="8" t="inlineStr">
        <is>
          <t>Valor atribuído ao cônjuge por via de dividendos, líquido</t>
        </is>
      </c>
      <c r="B29" s="9" t="inlineStr">
        <is>
          <t>LIQ_CJ</t>
        </is>
      </c>
      <c r="C29" s="25">
        <f>0</f>
        <v/>
      </c>
      <c r="D29" s="25">
        <f>0</f>
        <v/>
      </c>
      <c r="E29" s="25">
        <f>0</f>
        <v/>
      </c>
      <c r="F29" s="16" t="inlineStr">
        <is>
          <t>Só via 4. É uma transferência real de rendimento dentro do agregado e tem de ser explicitada — não é indiferente à sócia.</t>
        </is>
      </c>
    </row>
    <row r="30">
      <c r="A30" s="26" t="inlineStr">
        <is>
          <t>LÍQUIDO DISPONÍVEL PARA A SÓCIA</t>
        </is>
      </c>
      <c r="B30" s="9" t="inlineStr">
        <is>
          <t>LIQ_SOC</t>
        </is>
      </c>
      <c r="C30" s="27">
        <f>$C$25-$C$26-$C$28-$C$29</f>
        <v/>
      </c>
      <c r="D30" s="27">
        <f>$D$25-$D$26-$D$28-$D$29</f>
        <v/>
      </c>
      <c r="E30" s="27">
        <f>$E$25-$E$26-$E$28-$E$29</f>
        <v/>
      </c>
      <c r="F30" s="16" t="inlineStr"/>
    </row>
    <row r="31">
      <c r="A31" s="26" t="inlineStr">
        <is>
          <t>LÍQUIDO DISPONÍVEL PARA O AGREGADO</t>
        </is>
      </c>
      <c r="B31" s="9" t="inlineStr">
        <is>
          <t>LIQ_AGR</t>
        </is>
      </c>
      <c r="C31" s="27">
        <f>$C$30+$C$29</f>
        <v/>
      </c>
      <c r="D31" s="27">
        <f>$D$30+$D$29</f>
        <v/>
      </c>
      <c r="E31" s="27">
        <f>$E$30+$E$29</f>
        <v/>
      </c>
      <c r="F31" s="16" t="inlineStr"/>
    </row>
    <row r="32">
      <c r="A32" s="8" t="inlineStr">
        <is>
          <t>Memória — investimento e IVA não dedutível suportados no ano 1</t>
        </is>
      </c>
      <c r="B32" s="9" t="inlineStr">
        <is>
          <t>INV_A1</t>
        </is>
      </c>
      <c r="C32" s="25">
        <f>Inputs!$C$18+Inputs!$C$19+Inputs!$C$20+Inputs!$C$21</f>
        <v/>
      </c>
      <c r="D32" s="25">
        <f>Inputs!$D$18+Inputs!$D$19+Inputs!$D$20+Inputs!$D$21</f>
        <v/>
      </c>
      <c r="E32" s="25">
        <f>Inputs!$E$18+Inputs!$E$19+Inputs!$E$20+Inputs!$E$21</f>
        <v/>
      </c>
      <c r="F32" s="16" t="inlineStr">
        <is>
          <t>Excluído da comparação anual acima. Quantificação do IVA na folha IVA.</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3 — Sociedade sujeita a transparência fiscal (art. 6.º CIRC)</t>
        </is>
      </c>
    </row>
    <row r="2" ht="40" customHeight="1">
      <c r="A2" s="19" t="inlineStr">
        <is>
          <t>Sociedade detida a 100% pela Dra. Júlia. O lucro é imputado à sócia e tributado em IRS independentemente de distribuição (art. 6.º n.º 3 CIRC e art. 20.º CIRS). A sociedade não é tributada em IRC sobre o lucro, mas mantém-se sujeita a tributações autónomas (art. 12.º CIRC).</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Prestações de serviços</t>
        </is>
      </c>
      <c r="B6" s="9" t="inlineStr">
        <is>
          <t>FAT</t>
        </is>
      </c>
      <c r="C6" s="23">
        <f>Inputs!$C$6</f>
        <v/>
      </c>
      <c r="D6" s="23">
        <f>Inputs!$D$6</f>
        <v/>
      </c>
      <c r="E6" s="23">
        <f>Inputs!$E$6</f>
        <v/>
      </c>
      <c r="F6" s="16" t="inlineStr"/>
    </row>
    <row r="7">
      <c r="A7" s="8" t="inlineStr">
        <is>
          <t>Custos operacionais (excl. honorários)</t>
        </is>
      </c>
      <c r="B7" s="9" t="inlineStr">
        <is>
          <t>C_OP</t>
        </is>
      </c>
      <c r="C7" s="23">
        <f>Inputs!$C$9+Inputs!$C$10+Inputs!$C$11+Inputs!$C$12+Inputs!$C$13+Inputs!$C$14</f>
        <v/>
      </c>
      <c r="D7" s="23">
        <f>Inputs!$D$9+Inputs!$D$10+Inputs!$D$11+Inputs!$D$12+Inputs!$D$13+Inputs!$D$14</f>
        <v/>
      </c>
      <c r="E7" s="23">
        <f>Inputs!$E$9+Inputs!$E$10+Inputs!$E$11+Inputs!$E$12+Inputs!$E$13+Inputs!$E$14</f>
        <v/>
      </c>
      <c r="F7" s="16" t="inlineStr"/>
    </row>
    <row r="8">
      <c r="A8" s="8" t="inlineStr">
        <is>
          <t>Honorários a fisioterapeutas</t>
        </is>
      </c>
      <c r="B8" s="9" t="inlineStr">
        <is>
          <t>C_HON</t>
        </is>
      </c>
      <c r="C8" s="23">
        <f>Inputs!$C$15</f>
        <v/>
      </c>
      <c r="D8" s="23">
        <f>Inputs!$D$15</f>
        <v/>
      </c>
      <c r="E8" s="23">
        <f>Inputs!$E$15</f>
        <v/>
      </c>
      <c r="F8" s="16" t="inlineStr"/>
    </row>
    <row r="9">
      <c r="A9" s="8" t="inlineStr">
        <is>
          <t>Amortizações do exercício</t>
        </is>
      </c>
      <c r="B9" s="9" t="inlineStr">
        <is>
          <t>AMORT</t>
        </is>
      </c>
      <c r="C9" s="25">
        <f>Inputs!$C$18*Parametros!$C$34+(Inputs!$C$19+Inputs!$C$20)*Parametros!$C$35+Inputs!$C$21*Parametros!$C$36</f>
        <v/>
      </c>
      <c r="D9" s="25">
        <f>Inputs!$D$18*Parametros!$C$34+(Inputs!$D$19+Inputs!$D$20)*Parametros!$C$35+Inputs!$D$21*Parametros!$C$36</f>
        <v/>
      </c>
      <c r="E9" s="25">
        <f>Inputs!$E$18*Parametros!$C$34+(Inputs!$E$19+Inputs!$E$20)*Parametros!$C$35+Inputs!$E$21*Parametros!$C$36</f>
        <v/>
      </c>
      <c r="F9" s="16" t="inlineStr"/>
    </row>
    <row r="10">
      <c r="A10" s="8" t="inlineStr">
        <is>
          <t>Remuneração bruta de gerência</t>
        </is>
      </c>
      <c r="B10" s="9" t="inlineStr">
        <is>
          <t>REM</t>
        </is>
      </c>
      <c r="C10" s="23">
        <f>Inputs!$C$23</f>
        <v/>
      </c>
      <c r="D10" s="23">
        <f>Inputs!$D$23</f>
        <v/>
      </c>
      <c r="E10" s="23">
        <f>Inputs!$E$23</f>
        <v/>
      </c>
      <c r="F10" s="16" t="inlineStr">
        <is>
          <t>Variável de decisão. É a única base de incidência contributiva nesta via.</t>
        </is>
      </c>
    </row>
    <row r="11">
      <c r="A11" s="8" t="inlineStr">
        <is>
          <t>Base de incidência contributiva do MOE</t>
        </is>
      </c>
      <c r="B11" s="9" t="inlineStr">
        <is>
          <t>BASE_MOE</t>
        </is>
      </c>
      <c r="C11" s="25">
        <f>MAX($C$10,Parametros!$C$6*Parametros!$C$13*12)</f>
        <v/>
      </c>
      <c r="D11" s="25">
        <f>MAX($D$10,Parametros!$C$6*Parametros!$C$13*12)</f>
        <v/>
      </c>
      <c r="E11" s="25">
        <f>MAX($E$10,Parametros!$C$6*Parametros!$C$13*12)</f>
        <v/>
      </c>
      <c r="F11" s="16" t="inlineStr">
        <is>
          <t>Base mínima de 1 x IAS por mês, mesmo com remuneração inferior ou nula.</t>
        </is>
      </c>
    </row>
    <row r="12">
      <c r="A12" s="8" t="inlineStr">
        <is>
          <t>Contribuições a cargo da sociedade</t>
        </is>
      </c>
      <c r="B12" s="9" t="inlineStr">
        <is>
          <t>TSU_ENT</t>
        </is>
      </c>
      <c r="C12" s="25">
        <f>$C$11*Parametros!$C$11</f>
        <v/>
      </c>
      <c r="D12" s="25">
        <f>$D$11*Parametros!$C$11</f>
        <v/>
      </c>
      <c r="E12" s="25">
        <f>$E$11*Parametros!$C$11</f>
        <v/>
      </c>
      <c r="F12" s="16" t="inlineStr"/>
    </row>
    <row r="13">
      <c r="A13" s="26" t="inlineStr">
        <is>
          <t>Lucro tributável</t>
        </is>
      </c>
      <c r="B13" s="9" t="inlineStr">
        <is>
          <t>LT</t>
        </is>
      </c>
      <c r="C13" s="27">
        <f>$C$6-$C$7-$C$8-$C$9-$C$10-$C$12</f>
        <v/>
      </c>
      <c r="D13" s="27">
        <f>$D$6-$D$7-$D$8-$D$9-$D$10-$D$12</f>
        <v/>
      </c>
      <c r="E13" s="27">
        <f>$E$6-$E$7-$E$8-$E$9-$E$10-$E$12</f>
        <v/>
      </c>
      <c r="F13" s="16" t="inlineStr"/>
    </row>
    <row r="14">
      <c r="A14" s="8" t="inlineStr">
        <is>
          <t>Tributações autónomas</t>
        </is>
      </c>
      <c r="B14" s="9" t="inlineStr">
        <is>
          <t>TA</t>
        </is>
      </c>
      <c r="C14" s="23">
        <f>Inputs!$C$24</f>
        <v/>
      </c>
      <c r="D14" s="23">
        <f>Inputs!$D$24</f>
        <v/>
      </c>
      <c r="E14" s="23">
        <f>Inputs!$E$24</f>
        <v/>
      </c>
      <c r="F14" s="16" t="inlineStr">
        <is>
          <t>Devidas apesar da transparência fiscal — art. 12.º CIRC ressalva as tributações autónomas.</t>
        </is>
      </c>
    </row>
    <row r="15">
      <c r="A15" s="8" t="inlineStr">
        <is>
          <t>Derrama municipal</t>
        </is>
      </c>
      <c r="B15" s="9" t="inlineStr">
        <is>
          <t>DERR</t>
        </is>
      </c>
      <c r="C15" s="25">
        <f>MAX($C$13,0)*Parametros!$C$26*Parametros!$C$27</f>
        <v/>
      </c>
      <c r="D15" s="25">
        <f>MAX($D$13,0)*Parametros!$C$26*Parametros!$C$27</f>
        <v/>
      </c>
      <c r="E15" s="25">
        <f>MAX($E$13,0)*Parametros!$C$26*Parametros!$C$27</f>
        <v/>
      </c>
      <c r="F15" s="16" t="inlineStr">
        <is>
          <t>Interruptor na folha Parâmetros, por defeito a 0. A incidência de derrama sobre sociedade transparente é questão controvertida — ver R1-13. Não afirmar no relatório sem decisão da Fiscalidade.</t>
        </is>
      </c>
    </row>
    <row r="16">
      <c r="A16" s="26" t="inlineStr">
        <is>
          <t>Lucro imputável à sócia</t>
        </is>
      </c>
      <c r="B16" s="9" t="inlineStr">
        <is>
          <t>LUCRO_IMP</t>
        </is>
      </c>
      <c r="C16" s="27">
        <f>MAX($C$13,0)</f>
        <v/>
      </c>
      <c r="D16" s="27">
        <f>MAX($D$13,0)</f>
        <v/>
      </c>
      <c r="E16" s="27">
        <f>MAX($E$13,0)</f>
        <v/>
      </c>
      <c r="F16" s="16" t="inlineStr">
        <is>
          <t>Imputado independentemente de distribuição. Prejuízo fiscal não é imputado — é reportado na esfera da sociedade.</t>
        </is>
      </c>
    </row>
    <row r="17">
      <c r="A17" s="2" t="inlineStr">
        <is>
          <t>Esfera da sócia</t>
        </is>
      </c>
      <c r="B17" s="7" t="n"/>
      <c r="C17" s="7" t="n"/>
      <c r="D17" s="7" t="n"/>
      <c r="E17" s="7" t="n"/>
      <c r="F17" s="7" t="n"/>
    </row>
    <row r="18">
      <c r="A18" s="8" t="inlineStr">
        <is>
          <t>Contribuições a cargo da sócia (categoria A)</t>
        </is>
      </c>
      <c r="B18" s="9" t="inlineStr">
        <is>
          <t>SS_TRAB</t>
        </is>
      </c>
      <c r="C18" s="25">
        <f>$C$11*Parametros!$C$12</f>
        <v/>
      </c>
      <c r="D18" s="25">
        <f>$D$11*Parametros!$C$12</f>
        <v/>
      </c>
      <c r="E18" s="25">
        <f>$E$11*Parametros!$C$12</f>
        <v/>
      </c>
      <c r="F18" s="16" t="inlineStr"/>
    </row>
    <row r="19">
      <c r="A19" s="8" t="inlineStr">
        <is>
          <t>Dedução específica da categoria A</t>
        </is>
      </c>
      <c r="B19" s="9" t="inlineStr">
        <is>
          <t>DED_A</t>
        </is>
      </c>
      <c r="C19" s="25">
        <f>MIN($C$10,MAX(Parametros!$C$21,$C$18))</f>
        <v/>
      </c>
      <c r="D19" s="25">
        <f>MIN($D$10,MAX(Parametros!$C$21,$D$18))</f>
        <v/>
      </c>
      <c r="E19" s="25">
        <f>MIN($E$10,MAX(Parametros!$C$21,$E$18))</f>
        <v/>
      </c>
      <c r="F19" s="16" t="inlineStr">
        <is>
          <t>Art. 25.º n.º 1 al. a) e n.º 2 CIRS: o maior entre 4.104 € e as contribuições, com o limite do próprio rendimento.</t>
        </is>
      </c>
    </row>
    <row r="20">
      <c r="A20" s="8" t="inlineStr">
        <is>
          <t>Rendimento líquido da categoria A</t>
        </is>
      </c>
      <c r="B20" s="9" t="inlineStr">
        <is>
          <t>RL_CATA</t>
        </is>
      </c>
      <c r="C20" s="25">
        <f>MAX(0,$C$10-$C$19)</f>
        <v/>
      </c>
      <c r="D20" s="25">
        <f>MAX(0,$D$10-$D$19)</f>
        <v/>
      </c>
      <c r="E20" s="25">
        <f>MAX(0,$E$10-$E$19)</f>
        <v/>
      </c>
      <c r="F20" s="16" t="inlineStr"/>
    </row>
    <row r="21">
      <c r="A21" s="2" t="inlineStr">
        <is>
          <t>IRS do agregado</t>
        </is>
      </c>
      <c r="B21" s="7" t="n"/>
      <c r="C21" s="7" t="n"/>
      <c r="D21" s="7" t="n"/>
      <c r="E21" s="7" t="n"/>
      <c r="F21" s="7" t="n"/>
    </row>
    <row r="22">
      <c r="A22" s="26" t="inlineStr">
        <is>
          <t>Rendimento da sócia sujeito a englobamento</t>
        </is>
      </c>
      <c r="B22" s="9" t="inlineStr">
        <is>
          <t>R_JUL</t>
        </is>
      </c>
      <c r="C22" s="27">
        <f>$C$20+$C$16</f>
        <v/>
      </c>
      <c r="D22" s="27">
        <f>$D$20+$D$16</f>
        <v/>
      </c>
      <c r="E22" s="27">
        <f>$E$20+$E$16</f>
        <v/>
      </c>
      <c r="F22" s="16" t="inlineStr">
        <is>
          <t>Categoria A (remuneração de gerência) + categoria B (lucro imputado, art. 20.º CIRS).</t>
        </is>
      </c>
    </row>
    <row r="23">
      <c r="A23" s="8" t="inlineStr">
        <is>
          <t>Rendimento do cônjuge fora da estrutura</t>
        </is>
      </c>
      <c r="B23" s="9" t="inlineStr">
        <is>
          <t>R_CONJ</t>
        </is>
      </c>
      <c r="C23" s="23">
        <f>Inputs!$C$28</f>
        <v/>
      </c>
      <c r="D23" s="23">
        <f>Inputs!$D$28</f>
        <v/>
      </c>
      <c r="E23" s="23">
        <f>Inputs!$E$28</f>
        <v/>
      </c>
      <c r="F23" s="16" t="inlineStr"/>
    </row>
    <row r="24">
      <c r="A24" s="8" t="inlineStr">
        <is>
          <t>Rendimento coletável do agregado — com a atividade</t>
        </is>
      </c>
      <c r="B24" s="9" t="inlineStr">
        <is>
          <t>RC_COM</t>
        </is>
      </c>
      <c r="C24" s="25">
        <f>$C$22+$C$23</f>
        <v/>
      </c>
      <c r="D24" s="25">
        <f>$D$22+$D$23</f>
        <v/>
      </c>
      <c r="E24" s="25">
        <f>$E$22+$E$23</f>
        <v/>
      </c>
      <c r="F24" s="16" t="inlineStr"/>
    </row>
    <row r="25">
      <c r="A25" s="8" t="inlineStr">
        <is>
          <t>Rendimento coletável do agregado — sem a atividade</t>
        </is>
      </c>
      <c r="B25" s="9" t="inlineStr">
        <is>
          <t>RC_SEM</t>
        </is>
      </c>
      <c r="C25" s="25">
        <f>$C$23</f>
        <v/>
      </c>
      <c r="D25" s="25">
        <f>$D$23</f>
        <v/>
      </c>
      <c r="E25" s="25">
        <f>$E$23</f>
        <v/>
      </c>
      <c r="F25" s="16" t="inlineStr">
        <is>
          <t>Contrafactual. O diferencial entre as duas coletas é o IRS realmente imputável à atividade e é o que torna as quatro vias comparáveis.</t>
        </is>
      </c>
    </row>
    <row r="26">
      <c r="A26" s="8" t="inlineStr">
        <is>
          <t>Coleta com a atividade (incl. taxa adicional de solidariedade)</t>
        </is>
      </c>
      <c r="B26" s="9" t="inlineStr">
        <is>
          <t>COL_COM</t>
        </is>
      </c>
      <c r="C26" s="25">
        <f>IF(Inputs!$C$29=1,2*(SUMPRODUCT((($C$24/2)&gt;Parametros!$B$45:$B$53)*(($C$24/2)-Parametros!$B$45:$B$53)*Parametros!$E$45:$E$53)+SUMPRODUCT((($C$24/2)&gt;Parametros!$B$57:$B$58)*(($C$24/2)-Parametros!$B$57:$B$58)*Parametros!$E$57:$E$58)),SUMPRODUCT(($C$24&gt;Parametros!$B$45:$B$53)*($C$24-Parametros!$B$45:$B$53)*Parametros!$E$45:$E$53)+SUMPRODUCT(($C$24&gt;Parametros!$B$57:$B$58)*($C$24-Parametros!$B$57:$B$58)*Parametros!$E$57:$E$58))</f>
        <v/>
      </c>
      <c r="D26" s="25">
        <f>IF(Inputs!$D$29=1,2*(SUMPRODUCT((($D$24/2)&gt;Parametros!$B$45:$B$53)*(($D$24/2)-Parametros!$B$45:$B$53)*Parametros!$E$45:$E$53)+SUMPRODUCT((($D$24/2)&gt;Parametros!$B$57:$B$58)*(($D$24/2)-Parametros!$B$57:$B$58)*Parametros!$E$57:$E$58)),SUMPRODUCT(($D$24&gt;Parametros!$B$45:$B$53)*($D$24-Parametros!$B$45:$B$53)*Parametros!$E$45:$E$53)+SUMPRODUCT(($D$24&gt;Parametros!$B$57:$B$58)*($D$24-Parametros!$B$57:$B$58)*Parametros!$E$57:$E$58))</f>
        <v/>
      </c>
      <c r="E26" s="25">
        <f>IF(Inputs!$E$29=1,2*(SUMPRODUCT((($E$24/2)&gt;Parametros!$B$45:$B$53)*(($E$24/2)-Parametros!$B$45:$B$53)*Parametros!$E$45:$E$53)+SUMPRODUCT((($E$24/2)&gt;Parametros!$B$57:$B$58)*(($E$24/2)-Parametros!$B$57:$B$58)*Parametros!$E$57:$E$58)),SUMPRODUCT(($E$24&gt;Parametros!$B$45:$B$53)*($E$24-Parametros!$B$45:$B$53)*Parametros!$E$45:$E$53)+SUMPRODUCT(($E$24&gt;Parametros!$B$57:$B$58)*($E$24-Parametros!$B$57:$B$58)*Parametros!$E$57:$E$58))</f>
        <v/>
      </c>
      <c r="F26" s="16" t="inlineStr">
        <is>
          <t>Escalões e quociente conjugal na folha Parâmetros. Art. 68.º, 68.º-A e 69.º CIRS.</t>
        </is>
      </c>
    </row>
    <row r="27">
      <c r="A27" s="8" t="inlineStr">
        <is>
          <t>Coleta sem a atividade</t>
        </is>
      </c>
      <c r="B27" s="9" t="inlineStr">
        <is>
          <t>COL_SEM</t>
        </is>
      </c>
      <c r="C27" s="25">
        <f>IF(Inputs!$C$29=1,2*(SUMPRODUCT((($C$25/2)&gt;Parametros!$B$45:$B$53)*(($C$25/2)-Parametros!$B$45:$B$53)*Parametros!$E$45:$E$53)+SUMPRODUCT((($C$25/2)&gt;Parametros!$B$57:$B$58)*(($C$25/2)-Parametros!$B$57:$B$58)*Parametros!$E$57:$E$58)),SUMPRODUCT(($C$25&gt;Parametros!$B$45:$B$53)*($C$25-Parametros!$B$45:$B$53)*Parametros!$E$45:$E$53)+SUMPRODUCT(($C$25&gt;Parametros!$B$57:$B$58)*($C$25-Parametros!$B$57:$B$58)*Parametros!$E$57:$E$58))</f>
        <v/>
      </c>
      <c r="D27" s="25">
        <f>IF(Inputs!$D$29=1,2*(SUMPRODUCT((($D$25/2)&gt;Parametros!$B$45:$B$53)*(($D$25/2)-Parametros!$B$45:$B$53)*Parametros!$E$45:$E$53)+SUMPRODUCT((($D$25/2)&gt;Parametros!$B$57:$B$58)*(($D$25/2)-Parametros!$B$57:$B$58)*Parametros!$E$57:$E$58)),SUMPRODUCT(($D$25&gt;Parametros!$B$45:$B$53)*($D$25-Parametros!$B$45:$B$53)*Parametros!$E$45:$E$53)+SUMPRODUCT(($D$25&gt;Parametros!$B$57:$B$58)*($D$25-Parametros!$B$57:$B$58)*Parametros!$E$57:$E$58))</f>
        <v/>
      </c>
      <c r="E27" s="25">
        <f>IF(Inputs!$E$29=1,2*(SUMPRODUCT((($E$25/2)&gt;Parametros!$B$45:$B$53)*(($E$25/2)-Parametros!$B$45:$B$53)*Parametros!$E$45:$E$53)+SUMPRODUCT((($E$25/2)&gt;Parametros!$B$57:$B$58)*(($E$25/2)-Parametros!$B$57:$B$58)*Parametros!$E$57:$E$58)),SUMPRODUCT(($E$25&gt;Parametros!$B$45:$B$53)*($E$25-Parametros!$B$45:$B$53)*Parametros!$E$45:$E$53)+SUMPRODUCT(($E$25&gt;Parametros!$B$57:$B$58)*($E$25-Parametros!$B$57:$B$58)*Parametros!$E$57:$E$58))</f>
        <v/>
      </c>
      <c r="F27" s="16" t="inlineStr"/>
    </row>
    <row r="28">
      <c r="A28" s="26" t="inlineStr">
        <is>
          <t>IRS imputável à atividade</t>
        </is>
      </c>
      <c r="B28" s="9" t="inlineStr">
        <is>
          <t>IRS_ATIV</t>
        </is>
      </c>
      <c r="C28" s="27">
        <f>$C$26-$C$27</f>
        <v/>
      </c>
      <c r="D28" s="27">
        <f>$D$26-$D$27</f>
        <v/>
      </c>
      <c r="E28" s="27">
        <f>$E$26-$E$27</f>
        <v/>
      </c>
      <c r="F28" s="16" t="inlineStr"/>
    </row>
    <row r="29">
      <c r="A29" s="8" t="inlineStr">
        <is>
          <t>IRS total do agregado, após deduções à coleta (memória)</t>
        </is>
      </c>
      <c r="B29" s="9" t="inlineStr">
        <is>
          <t>IRS_TOT</t>
        </is>
      </c>
      <c r="C29" s="25">
        <f>MAX(0,$C$26-Inputs!$C$31)</f>
        <v/>
      </c>
      <c r="D29" s="25">
        <f>MAX(0,$D$26-Inputs!$D$31)</f>
        <v/>
      </c>
      <c r="E29" s="25">
        <f>MAX(0,$E$26-Inputs!$E$31)</f>
        <v/>
      </c>
      <c r="F29" s="16" t="inlineStr">
        <is>
          <t>Não entra na comparação entre vias; serve para o enquadramento do capítulo 3.</t>
        </is>
      </c>
    </row>
    <row r="30">
      <c r="A30" s="2" t="inlineStr">
        <is>
          <t>Resultado</t>
        </is>
      </c>
      <c r="B30" s="7" t="n"/>
      <c r="C30" s="7" t="n"/>
      <c r="D30" s="7" t="n"/>
      <c r="E30" s="7" t="n"/>
      <c r="F30" s="7" t="n"/>
    </row>
    <row r="31">
      <c r="A31" s="26" t="inlineStr">
        <is>
          <t>Caixa gerada pela atividade, antes de impostos e contribuições</t>
        </is>
      </c>
      <c r="B31" s="9" t="inlineStr">
        <is>
          <t>CAIXA</t>
        </is>
      </c>
      <c r="C31" s="27">
        <f>Inputs!$C$6+Inputs!$C$7-(Inputs!$C$9+Inputs!$C$10+Inputs!$C$11+Inputs!$C$12+Inputs!$C$13+Inputs!$C$14+Inputs!$C$15)</f>
        <v/>
      </c>
      <c r="D31" s="27">
        <f>Inputs!$D$6+Inputs!$D$7-(Inputs!$D$9+Inputs!$D$10+Inputs!$D$11+Inputs!$D$12+Inputs!$D$13+Inputs!$D$14+Inputs!$D$15)</f>
        <v/>
      </c>
      <c r="E31" s="27">
        <f>Inputs!$E$6+Inputs!$E$7-(Inputs!$E$9+Inputs!$E$10+Inputs!$E$11+Inputs!$E$12+Inputs!$E$13+Inputs!$E$14+Inputs!$E$15)</f>
        <v/>
      </c>
      <c r="F31" s="16" t="inlineStr">
        <is>
          <t>Caixa gerada pela atividade, igual nas quatro vias por construção. Exclui o investimento inicial, que é um efeito de ano 1 e está isolado na folha IVA e na linha própria abaixo.</t>
        </is>
      </c>
    </row>
    <row r="32">
      <c r="A32" s="26" t="inlineStr">
        <is>
          <t>Total de impostos e contribuições</t>
        </is>
      </c>
      <c r="B32" s="9" t="inlineStr">
        <is>
          <t>CARGA</t>
        </is>
      </c>
      <c r="C32" s="27">
        <f>$C$28+$C$18+$C$12+$C$14+$C$15</f>
        <v/>
      </c>
      <c r="D32" s="27">
        <f>$D$28+$D$18+$D$12+$D$14+$D$15</f>
        <v/>
      </c>
      <c r="E32" s="27">
        <f>$E$28+$E$18+$E$12+$E$14+$E$15</f>
        <v/>
      </c>
      <c r="F32" s="16" t="inlineStr">
        <is>
          <t>IRS imputável + contribuições da sócia + contribuições da sociedade + tributações autónomas + derrama. A distribuição do lucro já imputado não é novamente tributada.</t>
        </is>
      </c>
    </row>
    <row r="33">
      <c r="A33" s="8" t="inlineStr">
        <is>
          <t>Taxa de esforço efetiva sobre a caixa gerada</t>
        </is>
      </c>
      <c r="B33" s="9" t="inlineStr">
        <is>
          <t>TAXA_EF</t>
        </is>
      </c>
      <c r="C33" s="28">
        <f>IF($C$31&lt;=0,0,$C$32/$C$31)</f>
        <v/>
      </c>
      <c r="D33" s="28">
        <f>IF($D$31&lt;=0,0,$D$32/$D$31)</f>
        <v/>
      </c>
      <c r="E33" s="28">
        <f>IF($E$31&lt;=0,0,$E$32/$E$31)</f>
        <v/>
      </c>
      <c r="F33" s="16" t="inlineStr"/>
    </row>
    <row r="34">
      <c r="A34" s="8" t="inlineStr">
        <is>
          <t>Valor retido na sociedade (não disponibilizado à sócia)</t>
        </is>
      </c>
      <c r="B34" s="9" t="inlineStr">
        <is>
          <t>RETIDO</t>
        </is>
      </c>
      <c r="C34" s="25">
        <f>MAX(0,(Inputs!$C$6+Inputs!$C$7-(Inputs!$C$9+Inputs!$C$10+Inputs!$C$11+Inputs!$C$12+Inputs!$C$13+Inputs!$C$14+Inputs!$C$15))-$C$10-$C$12-$C$14-$C$15)*(1-Inputs!$C$25)</f>
        <v/>
      </c>
      <c r="D34" s="25">
        <f>MAX(0,(Inputs!$D$6+Inputs!$D$7-(Inputs!$D$9+Inputs!$D$10+Inputs!$D$11+Inputs!$D$12+Inputs!$D$13+Inputs!$D$14+Inputs!$D$15))-$D$10-$D$12-$D$14-$D$15)*(1-Inputs!$D$25)</f>
        <v/>
      </c>
      <c r="E34" s="25">
        <f>MAX(0,(Inputs!$E$6+Inputs!$E$7-(Inputs!$E$9+Inputs!$E$10+Inputs!$E$11+Inputs!$E$12+Inputs!$E$13+Inputs!$E$14+Inputs!$E$15))-$E$10-$E$12-$E$14-$E$15)*(1-Inputs!$E$25)</f>
        <v/>
      </c>
      <c r="F34" s="16" t="inlineStr"/>
    </row>
    <row r="35">
      <c r="A35" s="8" t="inlineStr">
        <is>
          <t>Valor atribuído ao cônjuge por via de dividendos, líquido</t>
        </is>
      </c>
      <c r="B35" s="9" t="inlineStr">
        <is>
          <t>LIQ_CJ</t>
        </is>
      </c>
      <c r="C35" s="25">
        <f>0</f>
        <v/>
      </c>
      <c r="D35" s="25">
        <f>0</f>
        <v/>
      </c>
      <c r="E35" s="25">
        <f>0</f>
        <v/>
      </c>
      <c r="F35" s="16" t="inlineStr">
        <is>
          <t>Só via 4. É uma transferência real de rendimento dentro do agregado e tem de ser explicitada — não é indiferente à sócia.</t>
        </is>
      </c>
    </row>
    <row r="36">
      <c r="A36" s="26" t="inlineStr">
        <is>
          <t>LÍQUIDO DISPONÍVEL PARA A SÓCIA</t>
        </is>
      </c>
      <c r="B36" s="9" t="inlineStr">
        <is>
          <t>LIQ_SOC</t>
        </is>
      </c>
      <c r="C36" s="27">
        <f>$C$31-$C$32-$C$34-$C$35</f>
        <v/>
      </c>
      <c r="D36" s="27">
        <f>$D$31-$D$32-$D$34-$D$35</f>
        <v/>
      </c>
      <c r="E36" s="27">
        <f>$E$31-$E$32-$E$34-$E$35</f>
        <v/>
      </c>
      <c r="F36" s="16" t="inlineStr"/>
    </row>
    <row r="37">
      <c r="A37" s="26" t="inlineStr">
        <is>
          <t>LÍQUIDO DISPONÍVEL PARA O AGREGADO</t>
        </is>
      </c>
      <c r="B37" s="9" t="inlineStr">
        <is>
          <t>LIQ_AGR</t>
        </is>
      </c>
      <c r="C37" s="27">
        <f>$C$36+$C$35</f>
        <v/>
      </c>
      <c r="D37" s="27">
        <f>$D$36+$D$35</f>
        <v/>
      </c>
      <c r="E37" s="27">
        <f>$E$36+$E$35</f>
        <v/>
      </c>
      <c r="F37" s="16" t="inlineStr"/>
    </row>
    <row r="38">
      <c r="A38" s="8" t="inlineStr">
        <is>
          <t>Memória — investimento e IVA não dedutível suportados no ano 1</t>
        </is>
      </c>
      <c r="B38" s="9" t="inlineStr">
        <is>
          <t>INV_A1</t>
        </is>
      </c>
      <c r="C38" s="25">
        <f>Inputs!$C$18+Inputs!$C$19+Inputs!$C$20+Inputs!$C$21</f>
        <v/>
      </c>
      <c r="D38" s="25">
        <f>Inputs!$D$18+Inputs!$D$19+Inputs!$D$20+Inputs!$D$21</f>
        <v/>
      </c>
      <c r="E38" s="25">
        <f>Inputs!$E$18+Inputs!$E$19+Inputs!$E$20+Inputs!$E$21</f>
        <v/>
      </c>
      <c r="F38" s="16" t="inlineStr">
        <is>
          <t>Excluído da comparação anual acima. Quantificação do IVA na folha IVA.</t>
        </is>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4 — Sociedade fora da transparência fiscal (entrada do cônjuge)</t>
        </is>
      </c>
    </row>
    <row r="2" ht="40" customHeight="1">
      <c r="A2" s="19" t="inlineStr">
        <is>
          <t>Pressupõe que a entrada do cônjuge afasta o regime do art. 6.º CIRC (ver N1 para o teste). O lucro passa a ser tributado em IRC e a distribuição é tributada de novo na esfera dos sócios. A pergunta a que esta folha responde não é 'sai da transparência?' mas 'compensa sair?'.</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Prestações de serviços isentas (fisioterapia)</t>
        </is>
      </c>
      <c r="B6" s="9" t="inlineStr">
        <is>
          <t>FAT</t>
        </is>
      </c>
      <c r="C6" s="23">
        <f>Inputs!$C$6</f>
        <v/>
      </c>
      <c r="D6" s="23">
        <f>Inputs!$D$6</f>
        <v/>
      </c>
      <c r="E6" s="23">
        <f>Inputs!$E$6</f>
        <v/>
      </c>
      <c r="F6" s="16" t="inlineStr"/>
    </row>
    <row r="7">
      <c r="A7" s="8" t="inlineStr">
        <is>
          <t>Prestações de serviços tributadas (atividade do cônjuge)</t>
        </is>
      </c>
      <c r="B7" s="9" t="inlineStr">
        <is>
          <t>FAT_T</t>
        </is>
      </c>
      <c r="C7" s="23">
        <f>Inputs!$C$7</f>
        <v/>
      </c>
      <c r="D7" s="23">
        <f>Inputs!$D$7</f>
        <v/>
      </c>
      <c r="E7" s="23">
        <f>Inputs!$E$7</f>
        <v/>
      </c>
      <c r="F7" s="16" t="inlineStr"/>
    </row>
    <row r="8">
      <c r="A8" s="8" t="inlineStr">
        <is>
          <t>Custos operacionais (excl. honorários)</t>
        </is>
      </c>
      <c r="B8" s="9" t="inlineStr">
        <is>
          <t>C_OP</t>
        </is>
      </c>
      <c r="C8" s="23">
        <f>Inputs!$C$9+Inputs!$C$10+Inputs!$C$11+Inputs!$C$12+Inputs!$C$13+Inputs!$C$14</f>
        <v/>
      </c>
      <c r="D8" s="23">
        <f>Inputs!$D$9+Inputs!$D$10+Inputs!$D$11+Inputs!$D$12+Inputs!$D$13+Inputs!$D$14</f>
        <v/>
      </c>
      <c r="E8" s="23">
        <f>Inputs!$E$9+Inputs!$E$10+Inputs!$E$11+Inputs!$E$12+Inputs!$E$13+Inputs!$E$14</f>
        <v/>
      </c>
      <c r="F8" s="16" t="inlineStr"/>
    </row>
    <row r="9">
      <c r="A9" s="8" t="inlineStr">
        <is>
          <t>Honorários a fisioterapeutas</t>
        </is>
      </c>
      <c r="B9" s="9" t="inlineStr">
        <is>
          <t>C_HON</t>
        </is>
      </c>
      <c r="C9" s="23">
        <f>Inputs!$C$15</f>
        <v/>
      </c>
      <c r="D9" s="23">
        <f>Inputs!$D$15</f>
        <v/>
      </c>
      <c r="E9" s="23">
        <f>Inputs!$E$15</f>
        <v/>
      </c>
      <c r="F9" s="16" t="inlineStr"/>
    </row>
    <row r="10">
      <c r="A10" s="8" t="inlineStr">
        <is>
          <t>Amortizações do exercício</t>
        </is>
      </c>
      <c r="B10" s="9" t="inlineStr">
        <is>
          <t>AMORT</t>
        </is>
      </c>
      <c r="C10" s="25">
        <f>Inputs!$C$18*Parametros!$C$34+(Inputs!$C$19+Inputs!$C$20)*Parametros!$C$35+Inputs!$C$21*Parametros!$C$36</f>
        <v/>
      </c>
      <c r="D10" s="25">
        <f>Inputs!$D$18*Parametros!$C$34+(Inputs!$D$19+Inputs!$D$20)*Parametros!$C$35+Inputs!$D$21*Parametros!$C$36</f>
        <v/>
      </c>
      <c r="E10" s="25">
        <f>Inputs!$E$18*Parametros!$C$34+(Inputs!$E$19+Inputs!$E$20)*Parametros!$C$35+Inputs!$E$21*Parametros!$C$36</f>
        <v/>
      </c>
      <c r="F10" s="16" t="inlineStr"/>
    </row>
    <row r="11">
      <c r="A11" s="8" t="inlineStr">
        <is>
          <t>Remuneração bruta de gerência</t>
        </is>
      </c>
      <c r="B11" s="9" t="inlineStr">
        <is>
          <t>REM</t>
        </is>
      </c>
      <c r="C11" s="23">
        <f>Inputs!$C$23</f>
        <v/>
      </c>
      <c r="D11" s="23">
        <f>Inputs!$D$23</f>
        <v/>
      </c>
      <c r="E11" s="23">
        <f>Inputs!$E$23</f>
        <v/>
      </c>
      <c r="F11" s="16" t="inlineStr"/>
    </row>
    <row r="12">
      <c r="A12" s="8" t="inlineStr">
        <is>
          <t>Base de incidência contributiva do MOE</t>
        </is>
      </c>
      <c r="B12" s="9" t="inlineStr">
        <is>
          <t>BASE_MOE</t>
        </is>
      </c>
      <c r="C12" s="25">
        <f>MAX($C$11,Parametros!$C$6*Parametros!$C$13*12)</f>
        <v/>
      </c>
      <c r="D12" s="25">
        <f>MAX($D$11,Parametros!$C$6*Parametros!$C$13*12)</f>
        <v/>
      </c>
      <c r="E12" s="25">
        <f>MAX($E$11,Parametros!$C$6*Parametros!$C$13*12)</f>
        <v/>
      </c>
      <c r="F12" s="16" t="inlineStr"/>
    </row>
    <row r="13">
      <c r="A13" s="8" t="inlineStr">
        <is>
          <t>Contribuições a cargo da sociedade</t>
        </is>
      </c>
      <c r="B13" s="9" t="inlineStr">
        <is>
          <t>TSU_ENT</t>
        </is>
      </c>
      <c r="C13" s="25">
        <f>$C$12*Parametros!$C$11</f>
        <v/>
      </c>
      <c r="D13" s="25">
        <f>$D$12*Parametros!$C$11</f>
        <v/>
      </c>
      <c r="E13" s="25">
        <f>$E$12*Parametros!$C$11</f>
        <v/>
      </c>
      <c r="F13" s="16" t="inlineStr"/>
    </row>
    <row r="14">
      <c r="A14" s="26" t="inlineStr">
        <is>
          <t>Lucro tributável</t>
        </is>
      </c>
      <c r="B14" s="9" t="inlineStr">
        <is>
          <t>LT</t>
        </is>
      </c>
      <c r="C14" s="27">
        <f>$C$6+$C$7-$C$8-$C$9-$C$10-$C$11-$C$13</f>
        <v/>
      </c>
      <c r="D14" s="27">
        <f>$D$6+$D$7-$D$8-$D$9-$D$10-$D$11-$D$13</f>
        <v/>
      </c>
      <c r="E14" s="27">
        <f>$E$6+$E$7-$E$8-$E$9-$E$10-$E$11-$E$13</f>
        <v/>
      </c>
      <c r="F14" s="16" t="inlineStr"/>
    </row>
    <row r="15">
      <c r="A15" s="8" t="inlineStr">
        <is>
          <t>IRC</t>
        </is>
      </c>
      <c r="B15" s="9" t="inlineStr">
        <is>
          <t>IRC</t>
        </is>
      </c>
      <c r="C15" s="25">
        <f>MIN(MAX($C$14,0),Parametros!$C$24)*Parametros!$C$23+MAX(0,MAX($C$14,0)-Parametros!$C$24)*Parametros!$C$25</f>
        <v/>
      </c>
      <c r="D15" s="25">
        <f>MIN(MAX($D$14,0),Parametros!$C$24)*Parametros!$C$23+MAX(0,MAX($D$14,0)-Parametros!$C$24)*Parametros!$C$25</f>
        <v/>
      </c>
      <c r="E15" s="25">
        <f>MIN(MAX($E$14,0),Parametros!$C$24)*Parametros!$C$23+MAX(0,MAX($E$14,0)-Parametros!$C$24)*Parametros!$C$25</f>
        <v/>
      </c>
      <c r="F15" s="16" t="inlineStr">
        <is>
          <t>Art. 87.º n.º 1 e 2 CIRC. Taxas de 2026 por confirmar — ver R1-11. O primeiro escalão só é aplicável se a sociedade qualificar como PME.</t>
        </is>
      </c>
    </row>
    <row r="16">
      <c r="A16" s="8" t="inlineStr">
        <is>
          <t>Derrama municipal</t>
        </is>
      </c>
      <c r="B16" s="9" t="inlineStr">
        <is>
          <t>DERR</t>
        </is>
      </c>
      <c r="C16" s="25">
        <f>MAX($C$14,0)*Parametros!$C$26</f>
        <v/>
      </c>
      <c r="D16" s="25">
        <f>MAX($D$14,0)*Parametros!$C$26</f>
        <v/>
      </c>
      <c r="E16" s="25">
        <f>MAX($E$14,0)*Parametros!$C$26</f>
        <v/>
      </c>
      <c r="F16" s="16" t="inlineStr">
        <is>
          <t>Confirmar a taxa e eventual isenção do município para volume de negócios reduzido.</t>
        </is>
      </c>
    </row>
    <row r="17">
      <c r="A17" s="8" t="inlineStr">
        <is>
          <t>Tributações autónomas</t>
        </is>
      </c>
      <c r="B17" s="9" t="inlineStr">
        <is>
          <t>TA</t>
        </is>
      </c>
      <c r="C17" s="23">
        <f>Inputs!$C$24</f>
        <v/>
      </c>
      <c r="D17" s="23">
        <f>Inputs!$D$24</f>
        <v/>
      </c>
      <c r="E17" s="23">
        <f>Inputs!$E$24</f>
        <v/>
      </c>
      <c r="F17" s="16" t="inlineStr"/>
    </row>
    <row r="18">
      <c r="A18" s="26" t="inlineStr">
        <is>
          <t>Lucro após imposto</t>
        </is>
      </c>
      <c r="B18" s="9" t="inlineStr">
        <is>
          <t>LUCRO_LIQ</t>
        </is>
      </c>
      <c r="C18" s="27">
        <f>$C$14-$C$15-$C$16-$C$17</f>
        <v/>
      </c>
      <c r="D18" s="27">
        <f>$D$14-$D$15-$D$16-$D$17</f>
        <v/>
      </c>
      <c r="E18" s="27">
        <f>$E$14-$E$15-$E$16-$E$17</f>
        <v/>
      </c>
      <c r="F18" s="16" t="inlineStr"/>
    </row>
    <row r="19">
      <c r="A19" s="2" t="inlineStr">
        <is>
          <t>Distribuição de resultados</t>
        </is>
      </c>
      <c r="B19" s="7" t="n"/>
      <c r="C19" s="7" t="n"/>
      <c r="D19" s="7" t="n"/>
      <c r="E19" s="7" t="n"/>
      <c r="F19" s="7" t="n"/>
    </row>
    <row r="20">
      <c r="A20" s="8" t="inlineStr">
        <is>
          <t>Caixa distribuível</t>
        </is>
      </c>
      <c r="B20" s="9" t="inlineStr">
        <is>
          <t>CX_DIST</t>
        </is>
      </c>
      <c r="C20" s="25">
        <f>MAX(0,(Inputs!$C$6+Inputs!$C$7-(Inputs!$C$9+Inputs!$C$10+Inputs!$C$11+Inputs!$C$12+Inputs!$C$13+Inputs!$C$14+Inputs!$C$15))-$C$11-$C$13-$C$15-$C$16-$C$17)</f>
        <v/>
      </c>
      <c r="D20" s="25">
        <f>MAX(0,(Inputs!$D$6+Inputs!$D$7-(Inputs!$D$9+Inputs!$D$10+Inputs!$D$11+Inputs!$D$12+Inputs!$D$13+Inputs!$D$14+Inputs!$D$15))-$D$11-$D$13-$D$15-$D$16-$D$17)</f>
        <v/>
      </c>
      <c r="E20" s="25">
        <f>MAX(0,(Inputs!$E$6+Inputs!$E$7-(Inputs!$E$9+Inputs!$E$10+Inputs!$E$11+Inputs!$E$12+Inputs!$E$13+Inputs!$E$14+Inputs!$E$15))-$E$11-$E$13-$E$15-$E$16-$E$17)</f>
        <v/>
      </c>
      <c r="F20" s="16" t="inlineStr">
        <is>
          <t>Base de caixa: as amortizações não são saída de caixa, pelo que a caixa distribuível excede o lucro contabilístico enquanto o investimento estiver a ser amortizado.</t>
        </is>
      </c>
    </row>
    <row r="21">
      <c r="A21" s="8" t="inlineStr">
        <is>
          <t>Política de distribuição</t>
        </is>
      </c>
      <c r="B21" s="9" t="inlineStr">
        <is>
          <t>POL</t>
        </is>
      </c>
      <c r="C21" s="24">
        <f>Inputs!$C$25</f>
        <v/>
      </c>
      <c r="D21" s="24">
        <f>Inputs!$D$25</f>
        <v/>
      </c>
      <c r="E21" s="24">
        <f>Inputs!$E$25</f>
        <v/>
      </c>
      <c r="F21" s="16" t="inlineStr">
        <is>
          <t>ALAVANCA PRINCIPAL desta via. A 0% de distribuição a via 4 domina; a 100% pode inverter-se.</t>
        </is>
      </c>
    </row>
    <row r="22">
      <c r="A22" s="8" t="inlineStr">
        <is>
          <t>Montante distribuído</t>
        </is>
      </c>
      <c r="B22" s="9" t="inlineStr">
        <is>
          <t>DIST</t>
        </is>
      </c>
      <c r="C22" s="25">
        <f>$C$20*$C$21</f>
        <v/>
      </c>
      <c r="D22" s="25">
        <f>$D$20*$D$21</f>
        <v/>
      </c>
      <c r="E22" s="25">
        <f>$E$20*$E$21</f>
        <v/>
      </c>
      <c r="F22" s="16" t="inlineStr"/>
    </row>
    <row r="23">
      <c r="A23" s="8" t="inlineStr">
        <is>
          <t>% do capital detida pelo cônjuge</t>
        </is>
      </c>
      <c r="B23" s="9" t="inlineStr">
        <is>
          <t>PCT_CJ</t>
        </is>
      </c>
      <c r="C23" s="24">
        <f>Inputs!$C$26</f>
        <v/>
      </c>
      <c r="D23" s="24">
        <f>Inputs!$D$26</f>
        <v/>
      </c>
      <c r="E23" s="24">
        <f>Inputs!$E$26</f>
        <v/>
      </c>
      <c r="F23" s="16" t="inlineStr"/>
    </row>
    <row r="24">
      <c r="A24" s="8" t="inlineStr">
        <is>
          <t>Dividendo atribuído à sócia</t>
        </is>
      </c>
      <c r="B24" s="9" t="inlineStr">
        <is>
          <t>DIV_JUL</t>
        </is>
      </c>
      <c r="C24" s="25">
        <f>$C$22*(1-$C$23)</f>
        <v/>
      </c>
      <c r="D24" s="25">
        <f>$D$22*(1-$D$23)</f>
        <v/>
      </c>
      <c r="E24" s="25">
        <f>$E$22*(1-$E$23)</f>
        <v/>
      </c>
      <c r="F24" s="16" t="inlineStr"/>
    </row>
    <row r="25">
      <c r="A25" s="8" t="inlineStr">
        <is>
          <t>Dividendo atribuído ao cônjuge</t>
        </is>
      </c>
      <c r="B25" s="9" t="inlineStr">
        <is>
          <t>DIV_CJ</t>
        </is>
      </c>
      <c r="C25" s="25">
        <f>$C$22*$C$23</f>
        <v/>
      </c>
      <c r="D25" s="25">
        <f>$D$22*$D$23</f>
        <v/>
      </c>
      <c r="E25" s="25">
        <f>$E$22*$E$23</f>
        <v/>
      </c>
      <c r="F25" s="16" t="inlineStr">
        <is>
          <t>Consequência não fiscal e frequentemente esquecida: a participação que afasta a transparência desloca essa fração do lucro para o cônjuge, em definitivo.</t>
        </is>
      </c>
    </row>
    <row r="26">
      <c r="A26" s="8" t="inlineStr">
        <is>
          <t>Opção por englobamento dos dividendos (1 = sim / 0 = retenção liberatória)</t>
        </is>
      </c>
      <c r="B26" s="9" t="inlineStr">
        <is>
          <t>ENGLOB</t>
        </is>
      </c>
      <c r="C26" s="29" t="n">
        <v>0</v>
      </c>
      <c r="D26" s="29" t="n">
        <v>0</v>
      </c>
      <c r="E26" s="29" t="n">
        <v>0</v>
      </c>
      <c r="F26" s="16" t="inlineStr">
        <is>
          <t>ALAVANCA. Testar ambas. Art. 71.º n.º 6 e art. 40.º-A CIRS.</t>
        </is>
      </c>
    </row>
    <row r="27">
      <c r="A27" s="8" t="inlineStr">
        <is>
          <t>Imposto sobre dividendos, por retenção liberatória</t>
        </is>
      </c>
      <c r="B27" s="9" t="inlineStr">
        <is>
          <t>IMP_DIV</t>
        </is>
      </c>
      <c r="C27" s="25">
        <f>IF($C$26=1,0,($C$24+$C$25)*Parametros!$C$28)</f>
        <v/>
      </c>
      <c r="D27" s="25">
        <f>IF($D$26=1,0,($D$24+$D$25)*Parametros!$C$28)</f>
        <v/>
      </c>
      <c r="E27" s="25">
        <f>IF($E$26=1,0,($E$24+$E$25)*Parametros!$C$28)</f>
        <v/>
      </c>
      <c r="F27" s="16" t="inlineStr"/>
    </row>
    <row r="28">
      <c r="A28" s="2" t="inlineStr">
        <is>
          <t>IRS do agregado</t>
        </is>
      </c>
      <c r="B28" s="7" t="n"/>
      <c r="C28" s="7" t="n"/>
      <c r="D28" s="7" t="n"/>
      <c r="E28" s="7" t="n"/>
      <c r="F28" s="7" t="n"/>
    </row>
    <row r="29">
      <c r="A29" s="26" t="inlineStr">
        <is>
          <t>Rendimento da sócia sujeito a englobamento</t>
        </is>
      </c>
      <c r="B29" s="9" t="inlineStr">
        <is>
          <t>R_JUL</t>
        </is>
      </c>
      <c r="C29" s="27">
        <f>MAX(0,$C$11-MIN($C$11,MAX(Parametros!$C$21,$C$12*Parametros!$C$12)))+IF($C$26=1,$C$24*Parametros!$C$29,0)</f>
        <v/>
      </c>
      <c r="D29" s="27">
        <f>MAX(0,$D$11-MIN($D$11,MAX(Parametros!$C$21,$D$12*Parametros!$C$12)))+IF($D$26=1,$D$24*Parametros!$C$29,0)</f>
        <v/>
      </c>
      <c r="E29" s="27">
        <f>MAX(0,$E$11-MIN($E$11,MAX(Parametros!$C$21,$E$12*Parametros!$C$12)))+IF($E$26=1,$E$24*Parametros!$C$29,0)</f>
        <v/>
      </c>
      <c r="F29" s="16" t="inlineStr">
        <is>
          <t>Categoria A líquida da dedução específica, mais 50% dos dividendos se houver englobamento (art. 40.º-A CIRS).</t>
        </is>
      </c>
    </row>
    <row r="30">
      <c r="A30" s="8" t="inlineStr">
        <is>
          <t>Rendimento do cônjuge (incl. dividendos englobados, se aplicável)</t>
        </is>
      </c>
      <c r="B30" s="9" t="inlineStr">
        <is>
          <t>R_CONJ</t>
        </is>
      </c>
      <c r="C30" s="25">
        <f>Inputs!$C$28+IF($C$26=1,$C$25*Parametros!$C$29,0)</f>
        <v/>
      </c>
      <c r="D30" s="25">
        <f>Inputs!$D$28+IF($D$26=1,$D$25*Parametros!$C$29,0)</f>
        <v/>
      </c>
      <c r="E30" s="25">
        <f>Inputs!$E$28+IF($E$26=1,$E$25*Parametros!$C$29,0)</f>
        <v/>
      </c>
      <c r="F30" s="16" t="inlineStr"/>
    </row>
    <row r="31">
      <c r="A31" s="8" t="inlineStr">
        <is>
          <t>Rendimento coletável do agregado — com a atividade</t>
        </is>
      </c>
      <c r="B31" s="9" t="inlineStr">
        <is>
          <t>RC_COM</t>
        </is>
      </c>
      <c r="C31" s="25">
        <f>$C$29+$C$30</f>
        <v/>
      </c>
      <c r="D31" s="25">
        <f>$D$29+$D$30</f>
        <v/>
      </c>
      <c r="E31" s="25">
        <f>$E$29+$E$30</f>
        <v/>
      </c>
      <c r="F31" s="16" t="inlineStr"/>
    </row>
    <row r="32">
      <c r="A32" s="8" t="inlineStr">
        <is>
          <t>Rendimento coletável do agregado — sem a atividade</t>
        </is>
      </c>
      <c r="B32" s="9" t="inlineStr">
        <is>
          <t>RC_SEM</t>
        </is>
      </c>
      <c r="C32" s="23">
        <f>Inputs!$C$28</f>
        <v/>
      </c>
      <c r="D32" s="23">
        <f>Inputs!$D$28</f>
        <v/>
      </c>
      <c r="E32" s="23">
        <f>Inputs!$E$28</f>
        <v/>
      </c>
      <c r="F32" s="16" t="inlineStr">
        <is>
          <t>Contrafactual: apenas o rendimento do cônjuge fora da estrutura.</t>
        </is>
      </c>
    </row>
    <row r="33">
      <c r="A33" s="8" t="inlineStr">
        <is>
          <t>Coleta com a atividade (incl. taxa adicional de solidariedade)</t>
        </is>
      </c>
      <c r="B33" s="9" t="inlineStr">
        <is>
          <t>COL_COM</t>
        </is>
      </c>
      <c r="C33" s="25">
        <f>IF(Inputs!$C$29=1,2*(SUMPRODUCT((($C$31/2)&gt;Parametros!$B$45:$B$53)*(($C$31/2)-Parametros!$B$45:$B$53)*Parametros!$E$45:$E$53)+SUMPRODUCT((($C$31/2)&gt;Parametros!$B$57:$B$58)*(($C$31/2)-Parametros!$B$57:$B$58)*Parametros!$E$57:$E$58)),SUMPRODUCT(($C$31&gt;Parametros!$B$45:$B$53)*($C$31-Parametros!$B$45:$B$53)*Parametros!$E$45:$E$53)+SUMPRODUCT(($C$31&gt;Parametros!$B$57:$B$58)*($C$31-Parametros!$B$57:$B$58)*Parametros!$E$57:$E$58))</f>
        <v/>
      </c>
      <c r="D33" s="25">
        <f>IF(Inputs!$D$29=1,2*(SUMPRODUCT((($D$31/2)&gt;Parametros!$B$45:$B$53)*(($D$31/2)-Parametros!$B$45:$B$53)*Parametros!$E$45:$E$53)+SUMPRODUCT((($D$31/2)&gt;Parametros!$B$57:$B$58)*(($D$31/2)-Parametros!$B$57:$B$58)*Parametros!$E$57:$E$58)),SUMPRODUCT(($D$31&gt;Parametros!$B$45:$B$53)*($D$31-Parametros!$B$45:$B$53)*Parametros!$E$45:$E$53)+SUMPRODUCT(($D$31&gt;Parametros!$B$57:$B$58)*($D$31-Parametros!$B$57:$B$58)*Parametros!$E$57:$E$58))</f>
        <v/>
      </c>
      <c r="E33" s="25">
        <f>IF(Inputs!$E$29=1,2*(SUMPRODUCT((($E$31/2)&gt;Parametros!$B$45:$B$53)*(($E$31/2)-Parametros!$B$45:$B$53)*Parametros!$E$45:$E$53)+SUMPRODUCT((($E$31/2)&gt;Parametros!$B$57:$B$58)*(($E$31/2)-Parametros!$B$57:$B$58)*Parametros!$E$57:$E$58)),SUMPRODUCT(($E$31&gt;Parametros!$B$45:$B$53)*($E$31-Parametros!$B$45:$B$53)*Parametros!$E$45:$E$53)+SUMPRODUCT(($E$31&gt;Parametros!$B$57:$B$58)*($E$31-Parametros!$B$57:$B$58)*Parametros!$E$57:$E$58))</f>
        <v/>
      </c>
      <c r="F33" s="16" t="inlineStr"/>
    </row>
    <row r="34">
      <c r="A34" s="8" t="inlineStr">
        <is>
          <t>Coleta sem a atividade</t>
        </is>
      </c>
      <c r="B34" s="9" t="inlineStr">
        <is>
          <t>COL_SEM</t>
        </is>
      </c>
      <c r="C34" s="25">
        <f>IF(Inputs!$C$29=1,2*(SUMPRODUCT((($C$32/2)&gt;Parametros!$B$45:$B$53)*(($C$32/2)-Parametros!$B$45:$B$53)*Parametros!$E$45:$E$53)+SUMPRODUCT((($C$32/2)&gt;Parametros!$B$57:$B$58)*(($C$32/2)-Parametros!$B$57:$B$58)*Parametros!$E$57:$E$58)),SUMPRODUCT(($C$32&gt;Parametros!$B$45:$B$53)*($C$32-Parametros!$B$45:$B$53)*Parametros!$E$45:$E$53)+SUMPRODUCT(($C$32&gt;Parametros!$B$57:$B$58)*($C$32-Parametros!$B$57:$B$58)*Parametros!$E$57:$E$58))</f>
        <v/>
      </c>
      <c r="D34" s="25">
        <f>IF(Inputs!$D$29=1,2*(SUMPRODUCT((($D$32/2)&gt;Parametros!$B$45:$B$53)*(($D$32/2)-Parametros!$B$45:$B$53)*Parametros!$E$45:$E$53)+SUMPRODUCT((($D$32/2)&gt;Parametros!$B$57:$B$58)*(($D$32/2)-Parametros!$B$57:$B$58)*Parametros!$E$57:$E$58)),SUMPRODUCT(($D$32&gt;Parametros!$B$45:$B$53)*($D$32-Parametros!$B$45:$B$53)*Parametros!$E$45:$E$53)+SUMPRODUCT(($D$32&gt;Parametros!$B$57:$B$58)*($D$32-Parametros!$B$57:$B$58)*Parametros!$E$57:$E$58))</f>
        <v/>
      </c>
      <c r="E34" s="25">
        <f>IF(Inputs!$E$29=1,2*(SUMPRODUCT((($E$32/2)&gt;Parametros!$B$45:$B$53)*(($E$32/2)-Parametros!$B$45:$B$53)*Parametros!$E$45:$E$53)+SUMPRODUCT((($E$32/2)&gt;Parametros!$B$57:$B$58)*(($E$32/2)-Parametros!$B$57:$B$58)*Parametros!$E$57:$E$58)),SUMPRODUCT(($E$32&gt;Parametros!$B$45:$B$53)*($E$32-Parametros!$B$45:$B$53)*Parametros!$E$45:$E$53)+SUMPRODUCT(($E$32&gt;Parametros!$B$57:$B$58)*($E$32-Parametros!$B$57:$B$58)*Parametros!$E$57:$E$58))</f>
        <v/>
      </c>
      <c r="F34" s="16" t="inlineStr"/>
    </row>
    <row r="35">
      <c r="A35" s="26" t="inlineStr">
        <is>
          <t>IRS imputável à atividade</t>
        </is>
      </c>
      <c r="B35" s="9" t="inlineStr">
        <is>
          <t>IRS_ATIV</t>
        </is>
      </c>
      <c r="C35" s="27">
        <f>$C$33-$C$34</f>
        <v/>
      </c>
      <c r="D35" s="27">
        <f>$D$33-$D$34</f>
        <v/>
      </c>
      <c r="E35" s="27">
        <f>$E$33-$E$34</f>
        <v/>
      </c>
      <c r="F35" s="16" t="inlineStr"/>
    </row>
    <row r="36">
      <c r="A36" s="8" t="inlineStr">
        <is>
          <t>IRS total do agregado, após deduções à coleta (memória)</t>
        </is>
      </c>
      <c r="B36" s="9" t="inlineStr">
        <is>
          <t>IRS_TOT</t>
        </is>
      </c>
      <c r="C36" s="25">
        <f>MAX(0,$C$33-Inputs!$C$31)</f>
        <v/>
      </c>
      <c r="D36" s="25">
        <f>MAX(0,$D$33-Inputs!$D$31)</f>
        <v/>
      </c>
      <c r="E36" s="25">
        <f>MAX(0,$E$33-Inputs!$E$31)</f>
        <v/>
      </c>
      <c r="F36" s="16" t="inlineStr"/>
    </row>
    <row r="37">
      <c r="A37" s="8" t="inlineStr">
        <is>
          <t>Contribuições a cargo da sócia (memória)</t>
        </is>
      </c>
      <c r="B37" s="9" t="inlineStr">
        <is>
          <t>SS_TRAB</t>
        </is>
      </c>
      <c r="C37" s="25">
        <f>$C$12*Parametros!$C$12</f>
        <v/>
      </c>
      <c r="D37" s="25">
        <f>$D$12*Parametros!$C$12</f>
        <v/>
      </c>
      <c r="E37" s="25">
        <f>$E$12*Parametros!$C$12</f>
        <v/>
      </c>
      <c r="F37" s="16" t="inlineStr"/>
    </row>
    <row r="38">
      <c r="A38" s="2" t="inlineStr">
        <is>
          <t>Resultado</t>
        </is>
      </c>
      <c r="B38" s="7" t="n"/>
      <c r="C38" s="7" t="n"/>
      <c r="D38" s="7" t="n"/>
      <c r="E38" s="7" t="n"/>
      <c r="F38" s="7" t="n"/>
    </row>
    <row r="39">
      <c r="A39" s="26" t="inlineStr">
        <is>
          <t>Caixa gerada pela atividade, antes de impostos e contribuições</t>
        </is>
      </c>
      <c r="B39" s="9" t="inlineStr">
        <is>
          <t>CAIXA</t>
        </is>
      </c>
      <c r="C39" s="27">
        <f>Inputs!$C$6+Inputs!$C$7-(Inputs!$C$9+Inputs!$C$10+Inputs!$C$11+Inputs!$C$12+Inputs!$C$13+Inputs!$C$14+Inputs!$C$15)</f>
        <v/>
      </c>
      <c r="D39" s="27">
        <f>Inputs!$D$6+Inputs!$D$7-(Inputs!$D$9+Inputs!$D$10+Inputs!$D$11+Inputs!$D$12+Inputs!$D$13+Inputs!$D$14+Inputs!$D$15)</f>
        <v/>
      </c>
      <c r="E39" s="27">
        <f>Inputs!$E$6+Inputs!$E$7-(Inputs!$E$9+Inputs!$E$10+Inputs!$E$11+Inputs!$E$12+Inputs!$E$13+Inputs!$E$14+Inputs!$E$15)</f>
        <v/>
      </c>
      <c r="F39" s="16" t="inlineStr">
        <is>
          <t>Caixa gerada pela atividade, igual nas quatro vias por construção. Exclui o investimento inicial, que é um efeito de ano 1 e está isolado na folha IVA e na linha própria abaixo.</t>
        </is>
      </c>
    </row>
    <row r="40">
      <c r="A40" s="26" t="inlineStr">
        <is>
          <t>Total de impostos e contribuições</t>
        </is>
      </c>
      <c r="B40" s="9" t="inlineStr">
        <is>
          <t>CARGA</t>
        </is>
      </c>
      <c r="C40" s="27">
        <f>$C$35+$C$37+$C$13+$C$15+$C$16+$C$17+$C$27</f>
        <v/>
      </c>
      <c r="D40" s="27">
        <f>$D$35+$D$37+$D$13+$D$15+$D$16+$D$17+$D$27</f>
        <v/>
      </c>
      <c r="E40" s="27">
        <f>$E$35+$E$37+$E$13+$E$15+$E$16+$E$17+$E$27</f>
        <v/>
      </c>
      <c r="F40" s="16" t="inlineStr">
        <is>
          <t>IRS imputável + contribuições da sócia e da sociedade + IRC + derrama + tributações autónomas + imposto sobre dividendos.</t>
        </is>
      </c>
    </row>
    <row r="41">
      <c r="A41" s="8" t="inlineStr">
        <is>
          <t>Taxa de esforço efetiva sobre a caixa gerada</t>
        </is>
      </c>
      <c r="B41" s="9" t="inlineStr">
        <is>
          <t>TAXA_EF</t>
        </is>
      </c>
      <c r="C41" s="28">
        <f>IF($C$39&lt;=0,0,$C$40/$C$39)</f>
        <v/>
      </c>
      <c r="D41" s="28">
        <f>IF($D$39&lt;=0,0,$D$40/$D$39)</f>
        <v/>
      </c>
      <c r="E41" s="28">
        <f>IF($E$39&lt;=0,0,$E$40/$E$39)</f>
        <v/>
      </c>
      <c r="F41" s="16" t="inlineStr"/>
    </row>
    <row r="42">
      <c r="A42" s="8" t="inlineStr">
        <is>
          <t>Valor retido na sociedade (não disponibilizado à sócia)</t>
        </is>
      </c>
      <c r="B42" s="9" t="inlineStr">
        <is>
          <t>RETIDO</t>
        </is>
      </c>
      <c r="C42" s="25">
        <f>$C$20-$C$22</f>
        <v/>
      </c>
      <c r="D42" s="25">
        <f>$D$20-$D$22</f>
        <v/>
      </c>
      <c r="E42" s="25">
        <f>$E$20-$E$22</f>
        <v/>
      </c>
      <c r="F42" s="16" t="inlineStr"/>
    </row>
    <row r="43">
      <c r="A43" s="8" t="inlineStr">
        <is>
          <t>Valor atribuído ao cônjuge por via de dividendos, líquido</t>
        </is>
      </c>
      <c r="B43" s="9" t="inlineStr">
        <is>
          <t>LIQ_CJ</t>
        </is>
      </c>
      <c r="C43" s="25">
        <f>$C$25-IF($C$26=1,0,$C$25*Parametros!$C$28)</f>
        <v/>
      </c>
      <c r="D43" s="25">
        <f>$D$25-IF($D$26=1,0,$D$25*Parametros!$C$28)</f>
        <v/>
      </c>
      <c r="E43" s="25">
        <f>$E$25-IF($E$26=1,0,$E$25*Parametros!$C$28)</f>
        <v/>
      </c>
      <c r="F43" s="16" t="inlineStr">
        <is>
          <t>Só via 4. É uma transferência real de rendimento dentro do agregado e tem de ser explicitada — não é indiferente à sócia.</t>
        </is>
      </c>
    </row>
    <row r="44">
      <c r="A44" s="26" t="inlineStr">
        <is>
          <t>LÍQUIDO DISPONÍVEL PARA A SÓCIA</t>
        </is>
      </c>
      <c r="B44" s="9" t="inlineStr">
        <is>
          <t>LIQ_SOC</t>
        </is>
      </c>
      <c r="C44" s="27">
        <f>$C$39-$C$40-$C$42-$C$43</f>
        <v/>
      </c>
      <c r="D44" s="27">
        <f>$D$39-$D$40-$D$42-$D$43</f>
        <v/>
      </c>
      <c r="E44" s="27">
        <f>$E$39-$E$40-$E$42-$E$43</f>
        <v/>
      </c>
      <c r="F44" s="16" t="inlineStr"/>
    </row>
    <row r="45">
      <c r="A45" s="26" t="inlineStr">
        <is>
          <t>LÍQUIDO DISPONÍVEL PARA O AGREGADO</t>
        </is>
      </c>
      <c r="B45" s="9" t="inlineStr">
        <is>
          <t>LIQ_AGR</t>
        </is>
      </c>
      <c r="C45" s="27">
        <f>$C$44+$C$43</f>
        <v/>
      </c>
      <c r="D45" s="27">
        <f>$D$44+$D$43</f>
        <v/>
      </c>
      <c r="E45" s="27">
        <f>$E$44+$E$43</f>
        <v/>
      </c>
      <c r="F45" s="16" t="inlineStr"/>
    </row>
    <row r="46">
      <c r="A46" s="8" t="inlineStr">
        <is>
          <t>Memória — investimento e IVA não dedutível suportados no ano 1</t>
        </is>
      </c>
      <c r="B46" s="9" t="inlineStr">
        <is>
          <t>INV_A1</t>
        </is>
      </c>
      <c r="C46" s="25">
        <f>Inputs!$C$18+Inputs!$C$19+Inputs!$C$20+Inputs!$C$21</f>
        <v/>
      </c>
      <c r="D46" s="25">
        <f>Inputs!$D$18+Inputs!$D$19+Inputs!$D$20+Inputs!$D$21</f>
        <v/>
      </c>
      <c r="E46" s="25">
        <f>Inputs!$E$18+Inputs!$E$19+Inputs!$E$20+Inputs!$E$21</f>
        <v/>
      </c>
      <c r="F46" s="16" t="inlineStr">
        <is>
          <t>Excluído da comparação anual acima. Quantificação do IVA na folha IVA.</t>
        </is>
      </c>
    </row>
  </sheetData>
  <mergeCells count="1">
    <mergeCell ref="A2:F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3" customWidth="1" min="2" max="2"/>
    <col width="14" customWidth="1" min="3" max="3"/>
    <col width="14" customWidth="1" min="4" max="4"/>
    <col width="14" customWidth="1" min="5" max="5"/>
    <col width="52" customWidth="1" min="6" max="6"/>
  </cols>
  <sheetData>
    <row r="1">
      <c r="A1" s="1" t="inlineStr">
        <is>
          <t>M1 — IVA sobre o investimento e custos correntes</t>
        </is>
      </c>
    </row>
    <row r="2" ht="46" customHeight="1">
      <c r="A2" s="19" t="inlineStr">
        <is>
          <t>A fisioterapia é isenta pelo art. 9.º n.º 1 CIVA. É isenção incompleta: não confere direito à dedução. Todo o IVA suportado é custo. Esta folha quantifica o custo e testa as duas atenuantes: taxa reduzida em equipamento (Lista I) e sujeito passivo misto por entrada do cônjuge.</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IVA suportado no investimento inicial</t>
        </is>
      </c>
      <c r="B5" s="7" t="n"/>
      <c r="C5" s="7" t="n"/>
      <c r="D5" s="7" t="n"/>
      <c r="E5" s="7" t="n"/>
      <c r="F5" s="7" t="n"/>
    </row>
    <row r="6">
      <c r="A6" s="8" t="inlineStr">
        <is>
          <t>IVA nas obras</t>
        </is>
      </c>
      <c r="B6" s="9" t="inlineStr">
        <is>
          <t>I_OBRAS</t>
        </is>
      </c>
      <c r="C6" s="25">
        <f>Inputs!$C$18*Parametros!$C$31</f>
        <v/>
      </c>
      <c r="D6" s="25">
        <f>Inputs!$D$18*Parametros!$C$31</f>
        <v/>
      </c>
      <c r="E6" s="25">
        <f>Inputs!$E$18*Parametros!$C$31</f>
        <v/>
      </c>
      <c r="F6" s="16" t="inlineStr"/>
    </row>
    <row r="7">
      <c r="A7" s="8" t="inlineStr">
        <is>
          <t>IVA no equipamento à taxa normal</t>
        </is>
      </c>
      <c r="B7" s="9" t="inlineStr">
        <is>
          <t>I_EQN</t>
        </is>
      </c>
      <c r="C7" s="25">
        <f>Inputs!$C$19*Parametros!$C$31</f>
        <v/>
      </c>
      <c r="D7" s="25">
        <f>Inputs!$D$19*Parametros!$C$31</f>
        <v/>
      </c>
      <c r="E7" s="25">
        <f>Inputs!$E$19*Parametros!$C$31</f>
        <v/>
      </c>
      <c r="F7" s="16" t="inlineStr"/>
    </row>
    <row r="8">
      <c r="A8" s="8" t="inlineStr">
        <is>
          <t>IVA no equipamento à taxa reduzida</t>
        </is>
      </c>
      <c r="B8" s="9" t="inlineStr">
        <is>
          <t>I_EQR</t>
        </is>
      </c>
      <c r="C8" s="25">
        <f>Inputs!$C$20*Parametros!$C$32</f>
        <v/>
      </c>
      <c r="D8" s="25">
        <f>Inputs!$D$20*Parametros!$C$32</f>
        <v/>
      </c>
      <c r="E8" s="25">
        <f>Inputs!$E$20*Parametros!$C$32</f>
        <v/>
      </c>
      <c r="F8" s="16" t="inlineStr">
        <is>
          <t>Verbas 2.5 e 2.6 da Lista I do CIVA. A confirmar item a item contra o orçamento de equipamento — é a atenuante mais barata de obter e ninguém a verificou ainda.</t>
        </is>
      </c>
    </row>
    <row r="9">
      <c r="A9" s="8" t="inlineStr">
        <is>
          <t>IVA no software</t>
        </is>
      </c>
      <c r="B9" s="9" t="inlineStr">
        <is>
          <t>I_SOFT</t>
        </is>
      </c>
      <c r="C9" s="25">
        <f>Inputs!$C$21*Parametros!$C$31</f>
        <v/>
      </c>
      <c r="D9" s="25">
        <f>Inputs!$D$21*Parametros!$C$31</f>
        <v/>
      </c>
      <c r="E9" s="25">
        <f>Inputs!$E$21*Parametros!$C$31</f>
        <v/>
      </c>
      <c r="F9" s="16" t="inlineStr"/>
    </row>
    <row r="10">
      <c r="A10" s="26" t="inlineStr">
        <is>
          <t>Total de IVA suportado no investimento</t>
        </is>
      </c>
      <c r="B10" s="9" t="inlineStr">
        <is>
          <t>I_TOT</t>
        </is>
      </c>
      <c r="C10" s="27">
        <f>SUM($C$6:$C$9)</f>
        <v/>
      </c>
      <c r="D10" s="27">
        <f>SUM($D$6:$D$9)</f>
        <v/>
      </c>
      <c r="E10" s="27">
        <f>SUM($E$6:$E$9)</f>
        <v/>
      </c>
      <c r="F10" s="16" t="inlineStr"/>
    </row>
    <row r="11">
      <c r="A11" s="2" t="inlineStr">
        <is>
          <t>Tratamento nas vias 1, 2 e 3 — atividade exclusivamente isenta</t>
        </is>
      </c>
      <c r="B11" s="7" t="n"/>
      <c r="C11" s="7" t="n"/>
      <c r="D11" s="7" t="n"/>
      <c r="E11" s="7" t="n"/>
      <c r="F11" s="7" t="n"/>
    </row>
    <row r="12">
      <c r="A12" s="8" t="inlineStr">
        <is>
          <t>IVA dedutível</t>
        </is>
      </c>
      <c r="B12" s="9" t="inlineStr">
        <is>
          <t>D_ISENTO</t>
        </is>
      </c>
      <c r="C12" s="25">
        <f>0</f>
        <v/>
      </c>
      <c r="D12" s="25">
        <f>0</f>
        <v/>
      </c>
      <c r="E12" s="25">
        <f>0</f>
        <v/>
      </c>
      <c r="F12" s="16" t="inlineStr">
        <is>
          <t>Art. 20.º n.º 1 CIVA a contrario: isenção do art. 9.º não confere direito à dedução.</t>
        </is>
      </c>
    </row>
    <row r="13">
      <c r="A13" s="26" t="inlineStr">
        <is>
          <t>IVA perdido, convertido em custo do investimento</t>
        </is>
      </c>
      <c r="B13" s="9" t="inlineStr">
        <is>
          <t>P_ISENTO</t>
        </is>
      </c>
      <c r="C13" s="27">
        <f>$C$10</f>
        <v/>
      </c>
      <c r="D13" s="27">
        <f>$D$10</f>
        <v/>
      </c>
      <c r="E13" s="27">
        <f>$E$10</f>
        <v/>
      </c>
      <c r="F13" s="16" t="inlineStr">
        <is>
          <t>Este montante acresce ao custo de aquisição e é amortizado nas vias com contabilidade.</t>
        </is>
      </c>
    </row>
    <row r="14">
      <c r="A14" s="2" t="inlineStr">
        <is>
          <t>Tratamento na via 4 — sujeito passivo misto</t>
        </is>
      </c>
      <c r="B14" s="7" t="n"/>
      <c r="C14" s="7" t="n"/>
      <c r="D14" s="7" t="n"/>
      <c r="E14" s="7" t="n"/>
      <c r="F14" s="7" t="n"/>
    </row>
    <row r="15">
      <c r="A15" s="8" t="inlineStr">
        <is>
          <t>Pro rata de dedução</t>
        </is>
      </c>
      <c r="B15" s="9" t="inlineStr">
        <is>
          <t>PRO_RATA</t>
        </is>
      </c>
      <c r="C15" s="28">
        <f>IF((Inputs!$C$6+Inputs!$C$7)&lt;=0,0,Inputs!$C$7/(Inputs!$C$6+Inputs!$C$7))</f>
        <v/>
      </c>
      <c r="D15" s="28">
        <f>IF((Inputs!$D$6+Inputs!$D$7)&lt;=0,0,Inputs!$D$7/(Inputs!$D$6+Inputs!$D$7))</f>
        <v/>
      </c>
      <c r="E15" s="28">
        <f>IF((Inputs!$E$6+Inputs!$E$7)&lt;=0,0,Inputs!$E$7/(Inputs!$E$6+Inputs!$E$7))</f>
        <v/>
      </c>
      <c r="F15" s="16" t="inlineStr">
        <is>
          <t>Art. 23.º n.º 4 CIVA: volume de negócios com direito a dedução sobre o total. Com FAT_TRIB a zero o pro rata é zero — só há dedução se o cônjuge faturar dentro da sociedade.</t>
        </is>
      </c>
    </row>
    <row r="16">
      <c r="A16" s="8" t="inlineStr">
        <is>
          <t>% do investimento afeto exclusivamente à atividade tributada</t>
        </is>
      </c>
      <c r="B16" s="9" t="inlineStr">
        <is>
          <t>PCT_EXCL</t>
        </is>
      </c>
      <c r="C16" s="12" t="n">
        <v>0</v>
      </c>
      <c r="D16" s="12" t="n">
        <v>0</v>
      </c>
      <c r="E16" s="12" t="n">
        <v>0</v>
      </c>
      <c r="F16" s="16" t="inlineStr">
        <is>
          <t>Só relevante na afetação real. A preencher com base na planta do espaço e no orçamento de obras.</t>
        </is>
      </c>
    </row>
    <row r="17">
      <c r="A17" s="8" t="inlineStr">
        <is>
          <t>IVA dedutível — método do pro rata</t>
        </is>
      </c>
      <c r="B17" s="9" t="inlineStr">
        <is>
          <t>D_PRORATA</t>
        </is>
      </c>
      <c r="C17" s="25">
        <f>$C$10*$C$15</f>
        <v/>
      </c>
      <c r="D17" s="25">
        <f>$D$10*$D$15</f>
        <v/>
      </c>
      <c r="E17" s="25">
        <f>$E$10*$E$15</f>
        <v/>
      </c>
      <c r="F17" s="16" t="inlineStr"/>
    </row>
    <row r="18">
      <c r="A18" s="8" t="inlineStr">
        <is>
          <t>IVA dedutível — método da afetação real</t>
        </is>
      </c>
      <c r="B18" s="9" t="inlineStr">
        <is>
          <t>D_REAL</t>
        </is>
      </c>
      <c r="C18" s="25">
        <f>$C$10*$C$16+$C$10*(1-$C$16)*$C$15</f>
        <v/>
      </c>
      <c r="D18" s="25">
        <f>$D$10*$D$16+$D$10*(1-$D$16)*$D$15</f>
        <v/>
      </c>
      <c r="E18" s="25">
        <f>$E$10*$E$16+$E$10*(1-$E$16)*$E$15</f>
        <v/>
      </c>
      <c r="F18" s="16" t="inlineStr">
        <is>
          <t>Art. 23.º n.º 2 CIVA. Dedução integral na parte exclusivamente afeta a operações tributadas, pro rata nos custos comuns. Mais favorável, mas exige segregação documental permanente (ata, ponto 6).</t>
        </is>
      </c>
    </row>
    <row r="19">
      <c r="A19" s="26" t="inlineStr">
        <is>
          <t>IVA recuperável na melhor hipótese</t>
        </is>
      </c>
      <c r="B19" s="9" t="inlineStr">
        <is>
          <t>D_MELHOR</t>
        </is>
      </c>
      <c r="C19" s="27">
        <f>MAX($C$17,$C$18)</f>
        <v/>
      </c>
      <c r="D19" s="27">
        <f>MAX($D$17,$D$18)</f>
        <v/>
      </c>
      <c r="E19" s="27">
        <f>MAX($E$17,$E$18)</f>
        <v/>
      </c>
      <c r="F19" s="16" t="inlineStr"/>
    </row>
    <row r="20">
      <c r="A20" s="26" t="inlineStr">
        <is>
          <t>IVA perdido na via 4</t>
        </is>
      </c>
      <c r="B20" s="9" t="inlineStr">
        <is>
          <t>P_MISTO</t>
        </is>
      </c>
      <c r="C20" s="27">
        <f>$C$10-$C$19</f>
        <v/>
      </c>
      <c r="D20" s="27">
        <f>$D$10-$D$19</f>
        <v/>
      </c>
      <c r="E20" s="27">
        <f>$E$10-$E$19</f>
        <v/>
      </c>
      <c r="F20" s="16" t="inlineStr"/>
    </row>
    <row r="21">
      <c r="A21" s="26" t="inlineStr">
        <is>
          <t>Ganho de IVA atribuível à entrada do cônjuge</t>
        </is>
      </c>
      <c r="B21" s="9" t="inlineStr">
        <is>
          <t>GANHO</t>
        </is>
      </c>
      <c r="C21" s="27">
        <f>$C$13-$C$20</f>
        <v/>
      </c>
      <c r="D21" s="27">
        <f>$D$13-$D$20</f>
        <v/>
      </c>
      <c r="E21" s="27">
        <f>$E$13-$E$20</f>
        <v/>
      </c>
      <c r="F21" s="16" t="inlineStr">
        <is>
          <t>Comparar com o diferencial de IRS/IRC da folha Comparativo. A ata afirma que o efeito da transparência é 'materialmente superior' ao do IVA — esta linha é o teste dessa afirmação.</t>
        </is>
      </c>
    </row>
    <row r="22">
      <c r="A22" s="2" t="inlineStr">
        <is>
          <t>Sensibilidade — elegibilidade para taxa reduzida</t>
        </is>
      </c>
      <c r="B22" s="7" t="n"/>
      <c r="C22" s="7" t="n"/>
      <c r="D22" s="7" t="n"/>
      <c r="E22" s="7" t="n"/>
      <c r="F22" s="7" t="n"/>
    </row>
    <row r="23">
      <c r="A23" s="8" t="inlineStr">
        <is>
          <t>% do equipamento que viesse a qualificar para a taxa reduzida</t>
        </is>
      </c>
      <c r="B23" s="9" t="inlineStr">
        <is>
          <t>SENS_PCT</t>
        </is>
      </c>
      <c r="C23" s="12" t="n">
        <v>0.3</v>
      </c>
      <c r="D23" s="12" t="n">
        <v>0.3</v>
      </c>
      <c r="E23" s="12" t="n">
        <v>0.3</v>
      </c>
      <c r="F23" s="16" t="inlineStr">
        <is>
          <t>Cenário de teste. Não é uma estimativa: substituir pela verificação item a item.</t>
        </is>
      </c>
    </row>
    <row r="24">
      <c r="A24" s="26" t="inlineStr">
        <is>
          <t>Poupança de IVA nesse cenário</t>
        </is>
      </c>
      <c r="B24" s="9" t="inlineStr">
        <is>
          <t>SENS_GAN</t>
        </is>
      </c>
      <c r="C24" s="27">
        <f>Inputs!$C$19*$C$23*(Parametros!$C$31-Parametros!$C$32)</f>
        <v/>
      </c>
      <c r="D24" s="27">
        <f>Inputs!$D$19*$D$23*(Parametros!$C$31-Parametros!$C$32)</f>
        <v/>
      </c>
      <c r="E24" s="27">
        <f>Inputs!$E$19*$E$23*(Parametros!$C$31-Parametros!$C$32)</f>
        <v/>
      </c>
      <c r="F24" s="16" t="inlineStr"/>
    </row>
    <row r="25">
      <c r="A25" s="2" t="inlineStr">
        <is>
          <t>IVA em custos correntes (anual, memória)</t>
        </is>
      </c>
      <c r="B25" s="7" t="n"/>
      <c r="C25" s="7" t="n"/>
      <c r="D25" s="7" t="n"/>
      <c r="E25" s="7" t="n"/>
      <c r="F25" s="7" t="n"/>
    </row>
    <row r="26">
      <c r="A26" s="8" t="inlineStr">
        <is>
          <t>Base dos custos correntes sujeitos a IVA</t>
        </is>
      </c>
      <c r="B26" s="9" t="inlineStr">
        <is>
          <t>C_CORR</t>
        </is>
      </c>
      <c r="C26" s="23">
        <f>Inputs!$C$12+Inputs!$C$13+Inputs!$C$14</f>
        <v/>
      </c>
      <c r="D26" s="23">
        <f>Inputs!$D$12+Inputs!$D$13+Inputs!$D$14</f>
        <v/>
      </c>
      <c r="E26" s="23">
        <f>Inputs!$E$12+Inputs!$E$13+Inputs!$E$14</f>
        <v/>
      </c>
      <c r="F26" s="16" t="inlineStr">
        <is>
          <t>Renda excluída: o arrendamento é isento salvo renúncia (art. 9.º n.º 29 CIVA). Honorários de fisioterapeutas excluídos: também isentos pelo art. 9.º n.º 1.</t>
        </is>
      </c>
    </row>
    <row r="27">
      <c r="A27" s="26" t="inlineStr">
        <is>
          <t>IVA anual suportado e não dedutível (vias 1 a 3)</t>
        </is>
      </c>
      <c r="B27" s="9" t="inlineStr">
        <is>
          <t>C_IVA</t>
        </is>
      </c>
      <c r="C27" s="27">
        <f>$C$26*Parametros!$C$31</f>
        <v/>
      </c>
      <c r="D27" s="27">
        <f>$D$26*Parametros!$C$31</f>
        <v/>
      </c>
      <c r="E27" s="27">
        <f>$E$26*Parametros!$C$31</f>
        <v/>
      </c>
      <c r="F27" s="16" t="inlineStr"/>
    </row>
  </sheetData>
  <mergeCells count="1">
    <mergeCell ref="A2:F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54" customWidth="1" min="1" max="1"/>
    <col width="4" customWidth="1" min="2" max="2"/>
    <col width="17" customWidth="1" min="3" max="3"/>
    <col width="17" customWidth="1" min="4" max="4"/>
    <col width="17" customWidth="1" min="5" max="5"/>
    <col width="17" customWidth="1" min="6" max="6"/>
    <col width="46" customWidth="1" min="7" max="7"/>
  </cols>
  <sheetData>
    <row r="1">
      <c r="A1" s="1" t="inlineStr">
        <is>
          <t>M1 — Comparativo das quatro vias</t>
        </is>
      </c>
    </row>
    <row r="2" ht="44" customHeight="1">
      <c r="A2" s="19" t="inlineStr">
        <is>
          <t>Output principal do modelo. Sustenta o capítulo 3 do relatório e o anexo E2. Cada bloco é um cenário de faturação. O indicador de decisão é o líquido disponível para a sócia, não a carga fiscal absoluta — uma via pode pagar menos imposto e entregar menos dinheiro.</t>
        </is>
      </c>
    </row>
    <row r="4">
      <c r="A4" s="2" t="inlineStr">
        <is>
          <t>CENÁRIO BAIXO</t>
        </is>
      </c>
      <c r="B4" s="7" t="n"/>
      <c r="C4" s="7" t="n"/>
      <c r="D4" s="7" t="n"/>
      <c r="E4" s="7" t="n"/>
      <c r="F4" s="7" t="n"/>
      <c r="G4" s="7" t="n"/>
    </row>
    <row r="5" ht="28" customHeight="1">
      <c r="A5" s="6" t="inlineStr">
        <is>
          <t>Indicador</t>
        </is>
      </c>
      <c r="B5" s="6" t="inlineStr"/>
      <c r="C5" s="6" t="inlineStr">
        <is>
          <t>Via 1 — ENI simplificado</t>
        </is>
      </c>
      <c r="D5" s="6" t="inlineStr">
        <is>
          <t>Via 2 — ENI cont. organizada</t>
        </is>
      </c>
      <c r="E5" s="6" t="inlineStr">
        <is>
          <t>Via 3 — Soc. transparente</t>
        </is>
      </c>
      <c r="F5" s="6" t="inlineStr">
        <is>
          <t>Via 4 — Soc. não transparente</t>
        </is>
      </c>
      <c r="G5" s="6" t="inlineStr">
        <is>
          <t>Nota</t>
        </is>
      </c>
    </row>
    <row r="6">
      <c r="A6" s="8" t="inlineStr">
        <is>
          <t>Caixa gerada pela atividade</t>
        </is>
      </c>
      <c r="C6" s="23">
        <f>V1_ENI_Simplificado!$C$33</f>
        <v/>
      </c>
      <c r="D6" s="23">
        <f>V2_ENI_ContOrg!$C$25</f>
        <v/>
      </c>
      <c r="E6" s="23">
        <f>V3_Soc_Transparente!$C$31</f>
        <v/>
      </c>
      <c r="F6" s="23">
        <f>V4_Soc_NaoTransparente!$C$39</f>
        <v/>
      </c>
      <c r="G6" s="16" t="inlineStr">
        <is>
          <t>Idêntica nas quatro vias, por construção.</t>
        </is>
      </c>
    </row>
    <row r="7">
      <c r="A7" s="8" t="inlineStr">
        <is>
          <t>IRS imputável à atividade</t>
        </is>
      </c>
      <c r="C7" s="23">
        <f>V1_ENI_Simplificado!$C$30</f>
        <v/>
      </c>
      <c r="D7" s="23">
        <f>V2_ENI_ContOrg!$C$22</f>
        <v/>
      </c>
      <c r="E7" s="23">
        <f>V3_Soc_Transparente!$C$28</f>
        <v/>
      </c>
      <c r="F7" s="23">
        <f>V4_Soc_NaoTransparente!$C$35</f>
        <v/>
      </c>
      <c r="G7" s="16" t="inlineStr"/>
    </row>
    <row r="8">
      <c r="A8" s="8" t="inlineStr">
        <is>
          <t>Segurança Social (todas as componentes)</t>
        </is>
      </c>
      <c r="C8" s="23">
        <f>V1_ENI_Simplificado!$C$20</f>
        <v/>
      </c>
      <c r="D8" s="23">
        <f>V2_ENI_ContOrg!$C$13</f>
        <v/>
      </c>
      <c r="E8" s="23">
        <f>V3_Soc_Transparente!$C$18+V3_Soc_Transparente!$C$12</f>
        <v/>
      </c>
      <c r="F8" s="23">
        <f>V4_Soc_NaoTransparente!$C$37+V4_Soc_NaoTransparente!$C$13</f>
        <v/>
      </c>
      <c r="G8" s="16" t="inlineStr">
        <is>
          <t>Vias 1 e 2: contribuição do trabalhador independente. Vias 3 e 4: contribuições do MOE, a cargo da sócia e da sociedade.</t>
        </is>
      </c>
    </row>
    <row r="9">
      <c r="A9" s="8" t="inlineStr">
        <is>
          <t>IRC, derrama e tributações autónomas</t>
        </is>
      </c>
      <c r="C9" s="23">
        <f>0</f>
        <v/>
      </c>
      <c r="D9" s="23">
        <f>0</f>
        <v/>
      </c>
      <c r="E9" s="23">
        <f>V3_Soc_Transparente!$C$14+V3_Soc_Transparente!$C$15</f>
        <v/>
      </c>
      <c r="F9" s="23">
        <f>V4_Soc_NaoTransparente!$C$15+V4_Soc_NaoTransparente!$C$16+V4_Soc_NaoTransparente!$C$17</f>
        <v/>
      </c>
      <c r="G9" s="16" t="inlineStr"/>
    </row>
    <row r="10">
      <c r="A10" s="8" t="inlineStr">
        <is>
          <t>Imposto sobre a distribuição</t>
        </is>
      </c>
      <c r="C10" s="23">
        <f>0</f>
        <v/>
      </c>
      <c r="D10" s="23">
        <f>0</f>
        <v/>
      </c>
      <c r="E10" s="23">
        <f>0</f>
        <v/>
      </c>
      <c r="F10" s="23">
        <f>V4_Soc_NaoTransparente!$C$27</f>
        <v/>
      </c>
      <c r="G10" s="16" t="inlineStr"/>
    </row>
    <row r="11">
      <c r="A11" s="26" t="inlineStr">
        <is>
          <t>TOTAL DE IMPOSTOS E CONTRIBUIÇÕES</t>
        </is>
      </c>
      <c r="C11" s="27">
        <f>V1_ENI_Simplificado!$C$34</f>
        <v/>
      </c>
      <c r="D11" s="27">
        <f>V2_ENI_ContOrg!$C$26</f>
        <v/>
      </c>
      <c r="E11" s="27">
        <f>V3_Soc_Transparente!$C$32</f>
        <v/>
      </c>
      <c r="F11" s="27">
        <f>V4_Soc_NaoTransparente!$C$40</f>
        <v/>
      </c>
      <c r="G11" s="16" t="inlineStr"/>
    </row>
    <row r="12">
      <c r="A12" s="8" t="inlineStr">
        <is>
          <t>Taxa de esforço sobre a caixa gerada</t>
        </is>
      </c>
      <c r="C12" s="24">
        <f>V1_ENI_Simplificado!$C$35</f>
        <v/>
      </c>
      <c r="D12" s="24">
        <f>V2_ENI_ContOrg!$C$27</f>
        <v/>
      </c>
      <c r="E12" s="24">
        <f>V3_Soc_Transparente!$C$33</f>
        <v/>
      </c>
      <c r="F12" s="24">
        <f>V4_Soc_NaoTransparente!$C$41</f>
        <v/>
      </c>
      <c r="G12" s="16" t="inlineStr"/>
    </row>
    <row r="13">
      <c r="A13" s="8" t="inlineStr">
        <is>
          <t>Valor retido na sociedade</t>
        </is>
      </c>
      <c r="C13" s="23">
        <f>V1_ENI_Simplificado!$C$36</f>
        <v/>
      </c>
      <c r="D13" s="23">
        <f>V2_ENI_ContOrg!$C$28</f>
        <v/>
      </c>
      <c r="E13" s="23">
        <f>V3_Soc_Transparente!$C$34</f>
        <v/>
      </c>
      <c r="F13" s="23">
        <f>V4_Soc_NaoTransparente!$C$42</f>
        <v/>
      </c>
      <c r="G13" s="16" t="inlineStr">
        <is>
          <t>Não é perda, mas também não é liquidez da sócia. Tem de aparecer separado.</t>
        </is>
      </c>
    </row>
    <row r="14">
      <c r="A14" s="8" t="inlineStr">
        <is>
          <t>Valor atribuído ao cônjuge</t>
        </is>
      </c>
      <c r="C14" s="23">
        <f>V1_ENI_Simplificado!$C$37</f>
        <v/>
      </c>
      <c r="D14" s="23">
        <f>V2_ENI_ContOrg!$C$29</f>
        <v/>
      </c>
      <c r="E14" s="23">
        <f>V3_Soc_Transparente!$C$35</f>
        <v/>
      </c>
      <c r="F14" s="23">
        <f>V4_Soc_NaoTransparente!$C$43</f>
        <v/>
      </c>
      <c r="G14" s="16" t="inlineStr"/>
    </row>
    <row r="15">
      <c r="A15" s="26" t="inlineStr">
        <is>
          <t>LÍQUIDO DISPONÍVEL PARA A SÓCIA</t>
        </is>
      </c>
      <c r="C15" s="27">
        <f>V1_ENI_Simplificado!$C$38</f>
        <v/>
      </c>
      <c r="D15" s="27">
        <f>V2_ENI_ContOrg!$C$30</f>
        <v/>
      </c>
      <c r="E15" s="27">
        <f>V3_Soc_Transparente!$C$36</f>
        <v/>
      </c>
      <c r="F15" s="27">
        <f>V4_Soc_NaoTransparente!$C$44</f>
        <v/>
      </c>
      <c r="G15" s="16" t="inlineStr">
        <is>
          <t>Indicador de decisão.</t>
        </is>
      </c>
    </row>
    <row r="16">
      <c r="A16" s="26" t="inlineStr">
        <is>
          <t>LÍQUIDO DISPONÍVEL PARA O AGREGADO</t>
        </is>
      </c>
      <c r="C16" s="27">
        <f>V1_ENI_Simplificado!$C$39</f>
        <v/>
      </c>
      <c r="D16" s="27">
        <f>V2_ENI_ContOrg!$C$31</f>
        <v/>
      </c>
      <c r="E16" s="27">
        <f>V3_Soc_Transparente!$C$37</f>
        <v/>
      </c>
      <c r="F16" s="27">
        <f>V4_Soc_NaoTransparente!$C$45</f>
        <v/>
      </c>
      <c r="G16" s="16" t="inlineStr"/>
    </row>
    <row r="17">
      <c r="A17" s="8" t="inlineStr">
        <is>
          <t>Diferencial face à via 1 (líquido para a sócia)</t>
        </is>
      </c>
      <c r="C17" s="25">
        <f>C15-$C$15</f>
        <v/>
      </c>
      <c r="D17" s="25">
        <f>D15-$C$15</f>
        <v/>
      </c>
      <c r="E17" s="25">
        <f>E15-$C$15</f>
        <v/>
      </c>
      <c r="F17" s="25">
        <f>F15-$C$15</f>
        <v/>
      </c>
    </row>
    <row r="18">
      <c r="A18" s="26" t="inlineStr">
        <is>
          <t>Via com maior líquido para a sócia</t>
        </is>
      </c>
      <c r="C18" s="30">
        <f>INDEX($C$5:$F$5,1,MATCH(MAX($C$15:$F$15),$C$15:$F$15,0))</f>
        <v/>
      </c>
      <c r="D18" s="31" t="n"/>
      <c r="E18" s="31" t="n"/>
      <c r="F18" s="32" t="n"/>
    </row>
    <row r="21">
      <c r="A21" s="2" t="inlineStr">
        <is>
          <t>CENÁRIO BASE</t>
        </is>
      </c>
      <c r="B21" s="7" t="n"/>
      <c r="C21" s="7" t="n"/>
      <c r="D21" s="7" t="n"/>
      <c r="E21" s="7" t="n"/>
      <c r="F21" s="7" t="n"/>
      <c r="G21" s="7" t="n"/>
    </row>
    <row r="22" ht="28" customHeight="1">
      <c r="A22" s="6" t="inlineStr">
        <is>
          <t>Indicador</t>
        </is>
      </c>
      <c r="B22" s="6" t="inlineStr"/>
      <c r="C22" s="6" t="inlineStr">
        <is>
          <t>Via 1 — ENI simplificado</t>
        </is>
      </c>
      <c r="D22" s="6" t="inlineStr">
        <is>
          <t>Via 2 — ENI cont. organizada</t>
        </is>
      </c>
      <c r="E22" s="6" t="inlineStr">
        <is>
          <t>Via 3 — Soc. transparente</t>
        </is>
      </c>
      <c r="F22" s="6" t="inlineStr">
        <is>
          <t>Via 4 — Soc. não transparente</t>
        </is>
      </c>
      <c r="G22" s="6" t="inlineStr">
        <is>
          <t>Nota</t>
        </is>
      </c>
    </row>
    <row r="23">
      <c r="A23" s="8" t="inlineStr">
        <is>
          <t>Caixa gerada pela atividade</t>
        </is>
      </c>
      <c r="C23" s="23">
        <f>V1_ENI_Simplificado!$D$33</f>
        <v/>
      </c>
      <c r="D23" s="23">
        <f>V2_ENI_ContOrg!$D$25</f>
        <v/>
      </c>
      <c r="E23" s="23">
        <f>V3_Soc_Transparente!$D$31</f>
        <v/>
      </c>
      <c r="F23" s="23">
        <f>V4_Soc_NaoTransparente!$D$39</f>
        <v/>
      </c>
      <c r="G23" s="16" t="inlineStr">
        <is>
          <t>Idêntica nas quatro vias, por construção.</t>
        </is>
      </c>
    </row>
    <row r="24">
      <c r="A24" s="8" t="inlineStr">
        <is>
          <t>IRS imputável à atividade</t>
        </is>
      </c>
      <c r="C24" s="23">
        <f>V1_ENI_Simplificado!$D$30</f>
        <v/>
      </c>
      <c r="D24" s="23">
        <f>V2_ENI_ContOrg!$D$22</f>
        <v/>
      </c>
      <c r="E24" s="23">
        <f>V3_Soc_Transparente!$D$28</f>
        <v/>
      </c>
      <c r="F24" s="23">
        <f>V4_Soc_NaoTransparente!$D$35</f>
        <v/>
      </c>
      <c r="G24" s="16" t="inlineStr"/>
    </row>
    <row r="25">
      <c r="A25" s="8" t="inlineStr">
        <is>
          <t>Segurança Social (todas as componentes)</t>
        </is>
      </c>
      <c r="C25" s="23">
        <f>V1_ENI_Simplificado!$D$20</f>
        <v/>
      </c>
      <c r="D25" s="23">
        <f>V2_ENI_ContOrg!$D$13</f>
        <v/>
      </c>
      <c r="E25" s="23">
        <f>V3_Soc_Transparente!$D$18+V3_Soc_Transparente!$D$12</f>
        <v/>
      </c>
      <c r="F25" s="23">
        <f>V4_Soc_NaoTransparente!$D$37+V4_Soc_NaoTransparente!$D$13</f>
        <v/>
      </c>
      <c r="G25" s="16" t="inlineStr">
        <is>
          <t>Vias 1 e 2: contribuição do trabalhador independente. Vias 3 e 4: contribuições do MOE, a cargo da sócia e da sociedade.</t>
        </is>
      </c>
    </row>
    <row r="26">
      <c r="A26" s="8" t="inlineStr">
        <is>
          <t>IRC, derrama e tributações autónomas</t>
        </is>
      </c>
      <c r="C26" s="23">
        <f>0</f>
        <v/>
      </c>
      <c r="D26" s="23">
        <f>0</f>
        <v/>
      </c>
      <c r="E26" s="23">
        <f>V3_Soc_Transparente!$D$14+V3_Soc_Transparente!$D$15</f>
        <v/>
      </c>
      <c r="F26" s="23">
        <f>V4_Soc_NaoTransparente!$D$15+V4_Soc_NaoTransparente!$D$16+V4_Soc_NaoTransparente!$D$17</f>
        <v/>
      </c>
      <c r="G26" s="16" t="inlineStr"/>
    </row>
    <row r="27">
      <c r="A27" s="8" t="inlineStr">
        <is>
          <t>Imposto sobre a distribuição</t>
        </is>
      </c>
      <c r="C27" s="23">
        <f>0</f>
        <v/>
      </c>
      <c r="D27" s="23">
        <f>0</f>
        <v/>
      </c>
      <c r="E27" s="23">
        <f>0</f>
        <v/>
      </c>
      <c r="F27" s="23">
        <f>V4_Soc_NaoTransparente!$D$27</f>
        <v/>
      </c>
      <c r="G27" s="16" t="inlineStr"/>
    </row>
    <row r="28">
      <c r="A28" s="26" t="inlineStr">
        <is>
          <t>TOTAL DE IMPOSTOS E CONTRIBUIÇÕES</t>
        </is>
      </c>
      <c r="C28" s="27">
        <f>V1_ENI_Simplificado!$D$34</f>
        <v/>
      </c>
      <c r="D28" s="27">
        <f>V2_ENI_ContOrg!$D$26</f>
        <v/>
      </c>
      <c r="E28" s="27">
        <f>V3_Soc_Transparente!$D$32</f>
        <v/>
      </c>
      <c r="F28" s="27">
        <f>V4_Soc_NaoTransparente!$D$40</f>
        <v/>
      </c>
      <c r="G28" s="16" t="inlineStr"/>
    </row>
    <row r="29">
      <c r="A29" s="8" t="inlineStr">
        <is>
          <t>Taxa de esforço sobre a caixa gerada</t>
        </is>
      </c>
      <c r="C29" s="24">
        <f>V1_ENI_Simplificado!$D$35</f>
        <v/>
      </c>
      <c r="D29" s="24">
        <f>V2_ENI_ContOrg!$D$27</f>
        <v/>
      </c>
      <c r="E29" s="24">
        <f>V3_Soc_Transparente!$D$33</f>
        <v/>
      </c>
      <c r="F29" s="24">
        <f>V4_Soc_NaoTransparente!$D$41</f>
        <v/>
      </c>
      <c r="G29" s="16" t="inlineStr"/>
    </row>
    <row r="30">
      <c r="A30" s="8" t="inlineStr">
        <is>
          <t>Valor retido na sociedade</t>
        </is>
      </c>
      <c r="C30" s="23">
        <f>V1_ENI_Simplificado!$D$36</f>
        <v/>
      </c>
      <c r="D30" s="23">
        <f>V2_ENI_ContOrg!$D$28</f>
        <v/>
      </c>
      <c r="E30" s="23">
        <f>V3_Soc_Transparente!$D$34</f>
        <v/>
      </c>
      <c r="F30" s="23">
        <f>V4_Soc_NaoTransparente!$D$42</f>
        <v/>
      </c>
      <c r="G30" s="16" t="inlineStr">
        <is>
          <t>Não é perda, mas também não é liquidez da sócia. Tem de aparecer separado.</t>
        </is>
      </c>
    </row>
    <row r="31">
      <c r="A31" s="8" t="inlineStr">
        <is>
          <t>Valor atribuído ao cônjuge</t>
        </is>
      </c>
      <c r="C31" s="23">
        <f>V1_ENI_Simplificado!$D$37</f>
        <v/>
      </c>
      <c r="D31" s="23">
        <f>V2_ENI_ContOrg!$D$29</f>
        <v/>
      </c>
      <c r="E31" s="23">
        <f>V3_Soc_Transparente!$D$35</f>
        <v/>
      </c>
      <c r="F31" s="23">
        <f>V4_Soc_NaoTransparente!$D$43</f>
        <v/>
      </c>
      <c r="G31" s="16" t="inlineStr"/>
    </row>
    <row r="32">
      <c r="A32" s="26" t="inlineStr">
        <is>
          <t>LÍQUIDO DISPONÍVEL PARA A SÓCIA</t>
        </is>
      </c>
      <c r="C32" s="27">
        <f>V1_ENI_Simplificado!$D$38</f>
        <v/>
      </c>
      <c r="D32" s="27">
        <f>V2_ENI_ContOrg!$D$30</f>
        <v/>
      </c>
      <c r="E32" s="27">
        <f>V3_Soc_Transparente!$D$36</f>
        <v/>
      </c>
      <c r="F32" s="27">
        <f>V4_Soc_NaoTransparente!$D$44</f>
        <v/>
      </c>
      <c r="G32" s="16" t="inlineStr">
        <is>
          <t>Indicador de decisão.</t>
        </is>
      </c>
    </row>
    <row r="33">
      <c r="A33" s="26" t="inlineStr">
        <is>
          <t>LÍQUIDO DISPONÍVEL PARA O AGREGADO</t>
        </is>
      </c>
      <c r="C33" s="27">
        <f>V1_ENI_Simplificado!$D$39</f>
        <v/>
      </c>
      <c r="D33" s="27">
        <f>V2_ENI_ContOrg!$D$31</f>
        <v/>
      </c>
      <c r="E33" s="27">
        <f>V3_Soc_Transparente!$D$37</f>
        <v/>
      </c>
      <c r="F33" s="27">
        <f>V4_Soc_NaoTransparente!$D$45</f>
        <v/>
      </c>
      <c r="G33" s="16" t="inlineStr"/>
    </row>
    <row r="34">
      <c r="A34" s="8" t="inlineStr">
        <is>
          <t>Diferencial face à via 1 (líquido para a sócia)</t>
        </is>
      </c>
      <c r="C34" s="25">
        <f>C32-$C$32</f>
        <v/>
      </c>
      <c r="D34" s="25">
        <f>D32-$C$32</f>
        <v/>
      </c>
      <c r="E34" s="25">
        <f>E32-$C$32</f>
        <v/>
      </c>
      <c r="F34" s="25">
        <f>F32-$C$32</f>
        <v/>
      </c>
    </row>
    <row r="35">
      <c r="A35" s="26" t="inlineStr">
        <is>
          <t>Via com maior líquido para a sócia</t>
        </is>
      </c>
      <c r="C35" s="30">
        <f>INDEX($C$22:$F$22,1,MATCH(MAX($C$32:$F$32),$C$32:$F$32,0))</f>
        <v/>
      </c>
      <c r="D35" s="31" t="n"/>
      <c r="E35" s="31" t="n"/>
      <c r="F35" s="32" t="n"/>
    </row>
    <row r="38">
      <c r="A38" s="2" t="inlineStr">
        <is>
          <t>CENÁRIO ALTO</t>
        </is>
      </c>
      <c r="B38" s="7" t="n"/>
      <c r="C38" s="7" t="n"/>
      <c r="D38" s="7" t="n"/>
      <c r="E38" s="7" t="n"/>
      <c r="F38" s="7" t="n"/>
      <c r="G38" s="7" t="n"/>
    </row>
    <row r="39" ht="28" customHeight="1">
      <c r="A39" s="6" t="inlineStr">
        <is>
          <t>Indicador</t>
        </is>
      </c>
      <c r="B39" s="6" t="inlineStr"/>
      <c r="C39" s="6" t="inlineStr">
        <is>
          <t>Via 1 — ENI simplificado</t>
        </is>
      </c>
      <c r="D39" s="6" t="inlineStr">
        <is>
          <t>Via 2 — ENI cont. organizada</t>
        </is>
      </c>
      <c r="E39" s="6" t="inlineStr">
        <is>
          <t>Via 3 — Soc. transparente</t>
        </is>
      </c>
      <c r="F39" s="6" t="inlineStr">
        <is>
          <t>Via 4 — Soc. não transparente</t>
        </is>
      </c>
      <c r="G39" s="6" t="inlineStr">
        <is>
          <t>Nota</t>
        </is>
      </c>
    </row>
    <row r="40">
      <c r="A40" s="8" t="inlineStr">
        <is>
          <t>Caixa gerada pela atividade</t>
        </is>
      </c>
      <c r="C40" s="23">
        <f>V1_ENI_Simplificado!$E$33</f>
        <v/>
      </c>
      <c r="D40" s="23">
        <f>V2_ENI_ContOrg!$E$25</f>
        <v/>
      </c>
      <c r="E40" s="23">
        <f>V3_Soc_Transparente!$E$31</f>
        <v/>
      </c>
      <c r="F40" s="23">
        <f>V4_Soc_NaoTransparente!$E$39</f>
        <v/>
      </c>
      <c r="G40" s="16" t="inlineStr">
        <is>
          <t>Idêntica nas quatro vias, por construção.</t>
        </is>
      </c>
    </row>
    <row r="41">
      <c r="A41" s="8" t="inlineStr">
        <is>
          <t>IRS imputável à atividade</t>
        </is>
      </c>
      <c r="C41" s="23">
        <f>V1_ENI_Simplificado!$E$30</f>
        <v/>
      </c>
      <c r="D41" s="23">
        <f>V2_ENI_ContOrg!$E$22</f>
        <v/>
      </c>
      <c r="E41" s="23">
        <f>V3_Soc_Transparente!$E$28</f>
        <v/>
      </c>
      <c r="F41" s="23">
        <f>V4_Soc_NaoTransparente!$E$35</f>
        <v/>
      </c>
      <c r="G41" s="16" t="inlineStr"/>
    </row>
    <row r="42">
      <c r="A42" s="8" t="inlineStr">
        <is>
          <t>Segurança Social (todas as componentes)</t>
        </is>
      </c>
      <c r="C42" s="23">
        <f>V1_ENI_Simplificado!$E$20</f>
        <v/>
      </c>
      <c r="D42" s="23">
        <f>V2_ENI_ContOrg!$E$13</f>
        <v/>
      </c>
      <c r="E42" s="23">
        <f>V3_Soc_Transparente!$E$18+V3_Soc_Transparente!$E$12</f>
        <v/>
      </c>
      <c r="F42" s="23">
        <f>V4_Soc_NaoTransparente!$E$37+V4_Soc_NaoTransparente!$E$13</f>
        <v/>
      </c>
      <c r="G42" s="16" t="inlineStr">
        <is>
          <t>Vias 1 e 2: contribuição do trabalhador independente. Vias 3 e 4: contribuições do MOE, a cargo da sócia e da sociedade.</t>
        </is>
      </c>
    </row>
    <row r="43">
      <c r="A43" s="8" t="inlineStr">
        <is>
          <t>IRC, derrama e tributações autónomas</t>
        </is>
      </c>
      <c r="C43" s="23">
        <f>0</f>
        <v/>
      </c>
      <c r="D43" s="23">
        <f>0</f>
        <v/>
      </c>
      <c r="E43" s="23">
        <f>V3_Soc_Transparente!$E$14+V3_Soc_Transparente!$E$15</f>
        <v/>
      </c>
      <c r="F43" s="23">
        <f>V4_Soc_NaoTransparente!$E$15+V4_Soc_NaoTransparente!$E$16+V4_Soc_NaoTransparente!$E$17</f>
        <v/>
      </c>
      <c r="G43" s="16" t="inlineStr"/>
    </row>
    <row r="44">
      <c r="A44" s="8" t="inlineStr">
        <is>
          <t>Imposto sobre a distribuição</t>
        </is>
      </c>
      <c r="C44" s="23">
        <f>0</f>
        <v/>
      </c>
      <c r="D44" s="23">
        <f>0</f>
        <v/>
      </c>
      <c r="E44" s="23">
        <f>0</f>
        <v/>
      </c>
      <c r="F44" s="23">
        <f>V4_Soc_NaoTransparente!$E$27</f>
        <v/>
      </c>
      <c r="G44" s="16" t="inlineStr"/>
    </row>
    <row r="45">
      <c r="A45" s="26" t="inlineStr">
        <is>
          <t>TOTAL DE IMPOSTOS E CONTRIBUIÇÕES</t>
        </is>
      </c>
      <c r="C45" s="27">
        <f>V1_ENI_Simplificado!$E$34</f>
        <v/>
      </c>
      <c r="D45" s="27">
        <f>V2_ENI_ContOrg!$E$26</f>
        <v/>
      </c>
      <c r="E45" s="27">
        <f>V3_Soc_Transparente!$E$32</f>
        <v/>
      </c>
      <c r="F45" s="27">
        <f>V4_Soc_NaoTransparente!$E$40</f>
        <v/>
      </c>
      <c r="G45" s="16" t="inlineStr"/>
    </row>
    <row r="46">
      <c r="A46" s="8" t="inlineStr">
        <is>
          <t>Taxa de esforço sobre a caixa gerada</t>
        </is>
      </c>
      <c r="C46" s="24">
        <f>V1_ENI_Simplificado!$E$35</f>
        <v/>
      </c>
      <c r="D46" s="24">
        <f>V2_ENI_ContOrg!$E$27</f>
        <v/>
      </c>
      <c r="E46" s="24">
        <f>V3_Soc_Transparente!$E$33</f>
        <v/>
      </c>
      <c r="F46" s="24">
        <f>V4_Soc_NaoTransparente!$E$41</f>
        <v/>
      </c>
      <c r="G46" s="16" t="inlineStr"/>
    </row>
    <row r="47">
      <c r="A47" s="8" t="inlineStr">
        <is>
          <t>Valor retido na sociedade</t>
        </is>
      </c>
      <c r="C47" s="23">
        <f>V1_ENI_Simplificado!$E$36</f>
        <v/>
      </c>
      <c r="D47" s="23">
        <f>V2_ENI_ContOrg!$E$28</f>
        <v/>
      </c>
      <c r="E47" s="23">
        <f>V3_Soc_Transparente!$E$34</f>
        <v/>
      </c>
      <c r="F47" s="23">
        <f>V4_Soc_NaoTransparente!$E$42</f>
        <v/>
      </c>
      <c r="G47" s="16" t="inlineStr">
        <is>
          <t>Não é perda, mas também não é liquidez da sócia. Tem de aparecer separado.</t>
        </is>
      </c>
    </row>
    <row r="48">
      <c r="A48" s="8" t="inlineStr">
        <is>
          <t>Valor atribuído ao cônjuge</t>
        </is>
      </c>
      <c r="C48" s="23">
        <f>V1_ENI_Simplificado!$E$37</f>
        <v/>
      </c>
      <c r="D48" s="23">
        <f>V2_ENI_ContOrg!$E$29</f>
        <v/>
      </c>
      <c r="E48" s="23">
        <f>V3_Soc_Transparente!$E$35</f>
        <v/>
      </c>
      <c r="F48" s="23">
        <f>V4_Soc_NaoTransparente!$E$43</f>
        <v/>
      </c>
      <c r="G48" s="16" t="inlineStr"/>
    </row>
    <row r="49">
      <c r="A49" s="26" t="inlineStr">
        <is>
          <t>LÍQUIDO DISPONÍVEL PARA A SÓCIA</t>
        </is>
      </c>
      <c r="C49" s="27">
        <f>V1_ENI_Simplificado!$E$38</f>
        <v/>
      </c>
      <c r="D49" s="27">
        <f>V2_ENI_ContOrg!$E$30</f>
        <v/>
      </c>
      <c r="E49" s="27">
        <f>V3_Soc_Transparente!$E$36</f>
        <v/>
      </c>
      <c r="F49" s="27">
        <f>V4_Soc_NaoTransparente!$E$44</f>
        <v/>
      </c>
      <c r="G49" s="16" t="inlineStr">
        <is>
          <t>Indicador de decisão.</t>
        </is>
      </c>
    </row>
    <row r="50">
      <c r="A50" s="26" t="inlineStr">
        <is>
          <t>LÍQUIDO DISPONÍVEL PARA O AGREGADO</t>
        </is>
      </c>
      <c r="C50" s="27">
        <f>V1_ENI_Simplificado!$E$39</f>
        <v/>
      </c>
      <c r="D50" s="27">
        <f>V2_ENI_ContOrg!$E$31</f>
        <v/>
      </c>
      <c r="E50" s="27">
        <f>V3_Soc_Transparente!$E$37</f>
        <v/>
      </c>
      <c r="F50" s="27">
        <f>V4_Soc_NaoTransparente!$E$45</f>
        <v/>
      </c>
      <c r="G50" s="16" t="inlineStr"/>
    </row>
    <row r="51">
      <c r="A51" s="8" t="inlineStr">
        <is>
          <t>Diferencial face à via 1 (líquido para a sócia)</t>
        </is>
      </c>
      <c r="C51" s="25">
        <f>C49-$C$49</f>
        <v/>
      </c>
      <c r="D51" s="25">
        <f>D49-$C$49</f>
        <v/>
      </c>
      <c r="E51" s="25">
        <f>E49-$C$49</f>
        <v/>
      </c>
      <c r="F51" s="25">
        <f>F49-$C$49</f>
        <v/>
      </c>
    </row>
    <row r="52">
      <c r="A52" s="26" t="inlineStr">
        <is>
          <t>Via com maior líquido para a sócia</t>
        </is>
      </c>
      <c r="C52" s="30">
        <f>INDEX($C$39:$F$39,1,MATCH(MAX($C$49:$F$49),$C$49:$F$49,0))</f>
        <v/>
      </c>
      <c r="D52" s="31" t="n"/>
      <c r="E52" s="31" t="n"/>
      <c r="F52" s="32" t="n"/>
    </row>
    <row r="55">
      <c r="A55" s="5" t="inlineStr">
        <is>
          <t>Leitura obrigatória antes de citar qualquer número: os inputs são placeholders. Estes resultados demonstram que o motor funciona e indicam a direção do efeito; não são conclusões sobre o caso da Dra. Júlia.</t>
        </is>
      </c>
    </row>
  </sheetData>
  <mergeCells count="5">
    <mergeCell ref="C52:F52"/>
    <mergeCell ref="C18:F18"/>
    <mergeCell ref="C35:F35"/>
    <mergeCell ref="A55:G55"/>
    <mergeCell ref="A2:G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7"/>
  <sheetViews>
    <sheetView showGridLines="0" workbookViewId="0">
      <pane ySplit="7" topLeftCell="A8" activePane="bottomLeft" state="frozen"/>
      <selection pane="bottomLeft" activeCell="A1" sqref="A1"/>
    </sheetView>
  </sheetViews>
  <sheetFormatPr baseColWidth="8" defaultRowHeight="15"/>
  <cols>
    <col width="13" customWidth="1" min="1" max="1"/>
    <col width="15" customWidth="1" min="2" max="2"/>
    <col width="16" customWidth="1" min="3" max="3"/>
    <col width="14" customWidth="1" min="4" max="4"/>
    <col width="14" customWidth="1" min="5" max="5"/>
    <col width="15" customWidth="1" min="6" max="6"/>
    <col width="16" customWidth="1" min="7" max="7"/>
    <col width="14" customWidth="1" min="8" max="8"/>
    <col width="14" customWidth="1" min="9" max="9"/>
    <col width="15" customWidth="1" min="10" max="10"/>
    <col width="15" customWidth="1" min="11" max="11"/>
    <col width="11" customWidth="1" min="12" max="12"/>
  </cols>
  <sheetData>
    <row r="1">
      <c r="A1" s="1" t="inlineStr">
        <is>
          <t>M1 — Ponto de viragem do regime simplificado</t>
        </is>
      </c>
    </row>
    <row r="2" ht="44" customHeight="1">
      <c r="A2" s="19" t="inlineStr">
        <is>
          <t>Responde à pergunta que a ata deixou em aberto: a partir de que nível de custos reais é que o regime simplificado deixa de compensar. Faturação fixada no cenário Base; varia-se o peso dos custos reais dedutíveis. Comparam-se apenas as vias 1 e 2, que é onde a questão se põe.</t>
        </is>
      </c>
    </row>
    <row r="4">
      <c r="A4" s="8" t="inlineStr">
        <is>
          <t>Faturação (cenário Base)</t>
        </is>
      </c>
      <c r="C4" s="33">
        <f>Inputs!$D$6</f>
        <v/>
      </c>
    </row>
    <row r="5">
      <c r="A5" s="8" t="inlineStr">
        <is>
          <t>Rendimento do cônjuge</t>
        </is>
      </c>
      <c r="C5" s="33">
        <f>Inputs!$D$28</f>
        <v/>
      </c>
    </row>
    <row r="7" ht="28" customHeight="1">
      <c r="A7" s="6" t="inlineStr">
        <is>
          <t>% custos</t>
        </is>
      </c>
      <c r="B7" s="6" t="inlineStr">
        <is>
          <t>Custos reais</t>
        </is>
      </c>
      <c r="C7" s="6" t="inlineStr">
        <is>
          <t>Rend. líq. cat. B (via 1)</t>
        </is>
      </c>
      <c r="D7" s="6" t="inlineStr">
        <is>
          <t>SS via 1</t>
        </is>
      </c>
      <c r="E7" s="6" t="inlineStr">
        <is>
          <t>IRS via 1</t>
        </is>
      </c>
      <c r="F7" s="6" t="inlineStr">
        <is>
          <t>Carga via 1</t>
        </is>
      </c>
      <c r="G7" s="6" t="inlineStr">
        <is>
          <t>Lucro tribut. (via 2)</t>
        </is>
      </c>
      <c r="H7" s="6" t="inlineStr">
        <is>
          <t>SS via 2</t>
        </is>
      </c>
      <c r="I7" s="6" t="inlineStr">
        <is>
          <t>IRS via 2</t>
        </is>
      </c>
      <c r="J7" s="6" t="inlineStr">
        <is>
          <t>Carga via 2</t>
        </is>
      </c>
      <c r="K7" s="6" t="inlineStr">
        <is>
          <t>Diferencial</t>
        </is>
      </c>
      <c r="L7" s="6" t="inlineStr">
        <is>
          <t>Viragem</t>
        </is>
      </c>
    </row>
    <row r="8">
      <c r="A8" s="34" t="n">
        <v>0.05</v>
      </c>
      <c r="B8" s="25">
        <f>$C$4*A8</f>
        <v/>
      </c>
      <c r="C8" s="25">
        <f>$C$4*Parametros!$C$15+MAX(0,$C$4*Parametros!$C$16-(Parametros!$C$17+B8))-MAX(0,D8-$C$4*Parametros!$C$18)</f>
        <v/>
      </c>
      <c r="D8" s="25">
        <f>MAX(MIN($C$4*Parametros!$C$7,Parametros!$C$6*Parametros!$C$9*12)*Parametros!$C$8,Parametros!$C$10*12)</f>
        <v/>
      </c>
      <c r="E8" s="25">
        <f>IF(Inputs!$D$29=1,2*(SUMPRODUCT((((C8+$C$5)/2)&gt;Parametros!$B$45:$B$53)*(((C8+$C$5)/2)-Parametros!$B$45:$B$53)*Parametros!$E$45:$E$53)+SUMPRODUCT((((C8+$C$5)/2)&gt;Parametros!$B$57:$B$58)*(((C8+$C$5)/2)-Parametros!$B$57:$B$58)*Parametros!$E$57:$E$58)),SUMPRODUCT(((C8+$C$5)&gt;Parametros!$B$45:$B$53)*((C8+$C$5)-Parametros!$B$45:$B$53)*Parametros!$E$45:$E$53)+SUMPRODUCT(((C8+$C$5)&gt;Parametros!$B$57:$B$58)*((C8+$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8" s="35">
        <f>D8+E8</f>
        <v/>
      </c>
      <c r="G8" s="25">
        <f>MAX(0,$C$4-B8-H8)</f>
        <v/>
      </c>
      <c r="H8" s="25">
        <f>MAX(MIN(MAX($C$4-B8,0),Parametros!$C$6*Parametros!$C$9*12)*Parametros!$C$8,Parametros!$C$10*12)</f>
        <v/>
      </c>
      <c r="I8" s="25">
        <f>IF(Inputs!$D$29=1,2*(SUMPRODUCT((((G8+$C$5)/2)&gt;Parametros!$B$45:$B$53)*(((G8+$C$5)/2)-Parametros!$B$45:$B$53)*Parametros!$E$45:$E$53)+SUMPRODUCT((((G8+$C$5)/2)&gt;Parametros!$B$57:$B$58)*(((G8+$C$5)/2)-Parametros!$B$57:$B$58)*Parametros!$E$57:$E$58)),SUMPRODUCT(((G8+$C$5)&gt;Parametros!$B$45:$B$53)*((G8+$C$5)-Parametros!$B$45:$B$53)*Parametros!$E$45:$E$53)+SUMPRODUCT(((G8+$C$5)&gt;Parametros!$B$57:$B$58)*((G8+$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8" s="35">
        <f>H8+I8</f>
        <v/>
      </c>
      <c r="K8" s="25">
        <f>F8-J8</f>
        <v/>
      </c>
      <c r="L8" s="28">
        <f>0</f>
        <v/>
      </c>
    </row>
    <row r="9">
      <c r="A9" s="34" t="n">
        <v>0.1</v>
      </c>
      <c r="B9" s="25">
        <f>$C$4*A9</f>
        <v/>
      </c>
      <c r="C9" s="25">
        <f>$C$4*Parametros!$C$15+MAX(0,$C$4*Parametros!$C$16-(Parametros!$C$17+B9))-MAX(0,D9-$C$4*Parametros!$C$18)</f>
        <v/>
      </c>
      <c r="D9" s="25">
        <f>MAX(MIN($C$4*Parametros!$C$7,Parametros!$C$6*Parametros!$C$9*12)*Parametros!$C$8,Parametros!$C$10*12)</f>
        <v/>
      </c>
      <c r="E9" s="25">
        <f>IF(Inputs!$D$29=1,2*(SUMPRODUCT((((C9+$C$5)/2)&gt;Parametros!$B$45:$B$53)*(((C9+$C$5)/2)-Parametros!$B$45:$B$53)*Parametros!$E$45:$E$53)+SUMPRODUCT((((C9+$C$5)/2)&gt;Parametros!$B$57:$B$58)*(((C9+$C$5)/2)-Parametros!$B$57:$B$58)*Parametros!$E$57:$E$58)),SUMPRODUCT(((C9+$C$5)&gt;Parametros!$B$45:$B$53)*((C9+$C$5)-Parametros!$B$45:$B$53)*Parametros!$E$45:$E$53)+SUMPRODUCT(((C9+$C$5)&gt;Parametros!$B$57:$B$58)*((C9+$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9" s="35">
        <f>D9+E9</f>
        <v/>
      </c>
      <c r="G9" s="25">
        <f>MAX(0,$C$4-B9-H9)</f>
        <v/>
      </c>
      <c r="H9" s="25">
        <f>MAX(MIN(MAX($C$4-B9,0),Parametros!$C$6*Parametros!$C$9*12)*Parametros!$C$8,Parametros!$C$10*12)</f>
        <v/>
      </c>
      <c r="I9" s="25">
        <f>IF(Inputs!$D$29=1,2*(SUMPRODUCT((((G9+$C$5)/2)&gt;Parametros!$B$45:$B$53)*(((G9+$C$5)/2)-Parametros!$B$45:$B$53)*Parametros!$E$45:$E$53)+SUMPRODUCT((((G9+$C$5)/2)&gt;Parametros!$B$57:$B$58)*(((G9+$C$5)/2)-Parametros!$B$57:$B$58)*Parametros!$E$57:$E$58)),SUMPRODUCT(((G9+$C$5)&gt;Parametros!$B$45:$B$53)*((G9+$C$5)-Parametros!$B$45:$B$53)*Parametros!$E$45:$E$53)+SUMPRODUCT(((G9+$C$5)&gt;Parametros!$B$57:$B$58)*((G9+$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9" s="35">
        <f>H9+I9</f>
        <v/>
      </c>
      <c r="K9" s="25">
        <f>F9-J9</f>
        <v/>
      </c>
      <c r="L9" s="28">
        <f>IF(AND(K9&gt;=0,K8&lt;0),A9,0)</f>
        <v/>
      </c>
    </row>
    <row r="10">
      <c r="A10" s="34" t="n">
        <v>0.15</v>
      </c>
      <c r="B10" s="25">
        <f>$C$4*A10</f>
        <v/>
      </c>
      <c r="C10" s="25">
        <f>$C$4*Parametros!$C$15+MAX(0,$C$4*Parametros!$C$16-(Parametros!$C$17+B10))-MAX(0,D10-$C$4*Parametros!$C$18)</f>
        <v/>
      </c>
      <c r="D10" s="25">
        <f>MAX(MIN($C$4*Parametros!$C$7,Parametros!$C$6*Parametros!$C$9*12)*Parametros!$C$8,Parametros!$C$10*12)</f>
        <v/>
      </c>
      <c r="E10" s="25">
        <f>IF(Inputs!$D$29=1,2*(SUMPRODUCT((((C10+$C$5)/2)&gt;Parametros!$B$45:$B$53)*(((C10+$C$5)/2)-Parametros!$B$45:$B$53)*Parametros!$E$45:$E$53)+SUMPRODUCT((((C10+$C$5)/2)&gt;Parametros!$B$57:$B$58)*(((C10+$C$5)/2)-Parametros!$B$57:$B$58)*Parametros!$E$57:$E$58)),SUMPRODUCT(((C10+$C$5)&gt;Parametros!$B$45:$B$53)*((C10+$C$5)-Parametros!$B$45:$B$53)*Parametros!$E$45:$E$53)+SUMPRODUCT(((C10+$C$5)&gt;Parametros!$B$57:$B$58)*((C10+$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10" s="35">
        <f>D10+E10</f>
        <v/>
      </c>
      <c r="G10" s="25">
        <f>MAX(0,$C$4-B10-H10)</f>
        <v/>
      </c>
      <c r="H10" s="25">
        <f>MAX(MIN(MAX($C$4-B10,0),Parametros!$C$6*Parametros!$C$9*12)*Parametros!$C$8,Parametros!$C$10*12)</f>
        <v/>
      </c>
      <c r="I10" s="25">
        <f>IF(Inputs!$D$29=1,2*(SUMPRODUCT((((G10+$C$5)/2)&gt;Parametros!$B$45:$B$53)*(((G10+$C$5)/2)-Parametros!$B$45:$B$53)*Parametros!$E$45:$E$53)+SUMPRODUCT((((G10+$C$5)/2)&gt;Parametros!$B$57:$B$58)*(((G10+$C$5)/2)-Parametros!$B$57:$B$58)*Parametros!$E$57:$E$58)),SUMPRODUCT(((G10+$C$5)&gt;Parametros!$B$45:$B$53)*((G10+$C$5)-Parametros!$B$45:$B$53)*Parametros!$E$45:$E$53)+SUMPRODUCT(((G10+$C$5)&gt;Parametros!$B$57:$B$58)*((G10+$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10" s="35">
        <f>H10+I10</f>
        <v/>
      </c>
      <c r="K10" s="25">
        <f>F10-J10</f>
        <v/>
      </c>
      <c r="L10" s="28">
        <f>IF(AND(K10&gt;=0,K9&lt;0),A10,0)</f>
        <v/>
      </c>
    </row>
    <row r="11">
      <c r="A11" s="34" t="n">
        <v>0.2</v>
      </c>
      <c r="B11" s="25">
        <f>$C$4*A11</f>
        <v/>
      </c>
      <c r="C11" s="25">
        <f>$C$4*Parametros!$C$15+MAX(0,$C$4*Parametros!$C$16-(Parametros!$C$17+B11))-MAX(0,D11-$C$4*Parametros!$C$18)</f>
        <v/>
      </c>
      <c r="D11" s="25">
        <f>MAX(MIN($C$4*Parametros!$C$7,Parametros!$C$6*Parametros!$C$9*12)*Parametros!$C$8,Parametros!$C$10*12)</f>
        <v/>
      </c>
      <c r="E11" s="25">
        <f>IF(Inputs!$D$29=1,2*(SUMPRODUCT((((C11+$C$5)/2)&gt;Parametros!$B$45:$B$53)*(((C11+$C$5)/2)-Parametros!$B$45:$B$53)*Parametros!$E$45:$E$53)+SUMPRODUCT((((C11+$C$5)/2)&gt;Parametros!$B$57:$B$58)*(((C11+$C$5)/2)-Parametros!$B$57:$B$58)*Parametros!$E$57:$E$58)),SUMPRODUCT(((C11+$C$5)&gt;Parametros!$B$45:$B$53)*((C11+$C$5)-Parametros!$B$45:$B$53)*Parametros!$E$45:$E$53)+SUMPRODUCT(((C11+$C$5)&gt;Parametros!$B$57:$B$58)*((C11+$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11" s="35">
        <f>D11+E11</f>
        <v/>
      </c>
      <c r="G11" s="25">
        <f>MAX(0,$C$4-B11-H11)</f>
        <v/>
      </c>
      <c r="H11" s="25">
        <f>MAX(MIN(MAX($C$4-B11,0),Parametros!$C$6*Parametros!$C$9*12)*Parametros!$C$8,Parametros!$C$10*12)</f>
        <v/>
      </c>
      <c r="I11" s="25">
        <f>IF(Inputs!$D$29=1,2*(SUMPRODUCT((((G11+$C$5)/2)&gt;Parametros!$B$45:$B$53)*(((G11+$C$5)/2)-Parametros!$B$45:$B$53)*Parametros!$E$45:$E$53)+SUMPRODUCT((((G11+$C$5)/2)&gt;Parametros!$B$57:$B$58)*(((G11+$C$5)/2)-Parametros!$B$57:$B$58)*Parametros!$E$57:$E$58)),SUMPRODUCT(((G11+$C$5)&gt;Parametros!$B$45:$B$53)*((G11+$C$5)-Parametros!$B$45:$B$53)*Parametros!$E$45:$E$53)+SUMPRODUCT(((G11+$C$5)&gt;Parametros!$B$57:$B$58)*((G11+$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11" s="35">
        <f>H11+I11</f>
        <v/>
      </c>
      <c r="K11" s="25">
        <f>F11-J11</f>
        <v/>
      </c>
      <c r="L11" s="28">
        <f>IF(AND(K11&gt;=0,K10&lt;0),A11,0)</f>
        <v/>
      </c>
    </row>
    <row r="12">
      <c r="A12" s="34" t="n">
        <v>0.25</v>
      </c>
      <c r="B12" s="25">
        <f>$C$4*A12</f>
        <v/>
      </c>
      <c r="C12" s="25">
        <f>$C$4*Parametros!$C$15+MAX(0,$C$4*Parametros!$C$16-(Parametros!$C$17+B12))-MAX(0,D12-$C$4*Parametros!$C$18)</f>
        <v/>
      </c>
      <c r="D12" s="25">
        <f>MAX(MIN($C$4*Parametros!$C$7,Parametros!$C$6*Parametros!$C$9*12)*Parametros!$C$8,Parametros!$C$10*12)</f>
        <v/>
      </c>
      <c r="E12" s="25">
        <f>IF(Inputs!$D$29=1,2*(SUMPRODUCT((((C12+$C$5)/2)&gt;Parametros!$B$45:$B$53)*(((C12+$C$5)/2)-Parametros!$B$45:$B$53)*Parametros!$E$45:$E$53)+SUMPRODUCT((((C12+$C$5)/2)&gt;Parametros!$B$57:$B$58)*(((C12+$C$5)/2)-Parametros!$B$57:$B$58)*Parametros!$E$57:$E$58)),SUMPRODUCT(((C12+$C$5)&gt;Parametros!$B$45:$B$53)*((C12+$C$5)-Parametros!$B$45:$B$53)*Parametros!$E$45:$E$53)+SUMPRODUCT(((C12+$C$5)&gt;Parametros!$B$57:$B$58)*((C12+$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12" s="35">
        <f>D12+E12</f>
        <v/>
      </c>
      <c r="G12" s="25">
        <f>MAX(0,$C$4-B12-H12)</f>
        <v/>
      </c>
      <c r="H12" s="25">
        <f>MAX(MIN(MAX($C$4-B12,0),Parametros!$C$6*Parametros!$C$9*12)*Parametros!$C$8,Parametros!$C$10*12)</f>
        <v/>
      </c>
      <c r="I12" s="25">
        <f>IF(Inputs!$D$29=1,2*(SUMPRODUCT((((G12+$C$5)/2)&gt;Parametros!$B$45:$B$53)*(((G12+$C$5)/2)-Parametros!$B$45:$B$53)*Parametros!$E$45:$E$53)+SUMPRODUCT((((G12+$C$5)/2)&gt;Parametros!$B$57:$B$58)*(((G12+$C$5)/2)-Parametros!$B$57:$B$58)*Parametros!$E$57:$E$58)),SUMPRODUCT(((G12+$C$5)&gt;Parametros!$B$45:$B$53)*((G12+$C$5)-Parametros!$B$45:$B$53)*Parametros!$E$45:$E$53)+SUMPRODUCT(((G12+$C$5)&gt;Parametros!$B$57:$B$58)*((G12+$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12" s="35">
        <f>H12+I12</f>
        <v/>
      </c>
      <c r="K12" s="25">
        <f>F12-J12</f>
        <v/>
      </c>
      <c r="L12" s="28">
        <f>IF(AND(K12&gt;=0,K11&lt;0),A12,0)</f>
        <v/>
      </c>
    </row>
    <row r="13">
      <c r="A13" s="34" t="n">
        <v>0.3</v>
      </c>
      <c r="B13" s="25">
        <f>$C$4*A13</f>
        <v/>
      </c>
      <c r="C13" s="25">
        <f>$C$4*Parametros!$C$15+MAX(0,$C$4*Parametros!$C$16-(Parametros!$C$17+B13))-MAX(0,D13-$C$4*Parametros!$C$18)</f>
        <v/>
      </c>
      <c r="D13" s="25">
        <f>MAX(MIN($C$4*Parametros!$C$7,Parametros!$C$6*Parametros!$C$9*12)*Parametros!$C$8,Parametros!$C$10*12)</f>
        <v/>
      </c>
      <c r="E13" s="25">
        <f>IF(Inputs!$D$29=1,2*(SUMPRODUCT((((C13+$C$5)/2)&gt;Parametros!$B$45:$B$53)*(((C13+$C$5)/2)-Parametros!$B$45:$B$53)*Parametros!$E$45:$E$53)+SUMPRODUCT((((C13+$C$5)/2)&gt;Parametros!$B$57:$B$58)*(((C13+$C$5)/2)-Parametros!$B$57:$B$58)*Parametros!$E$57:$E$58)),SUMPRODUCT(((C13+$C$5)&gt;Parametros!$B$45:$B$53)*((C13+$C$5)-Parametros!$B$45:$B$53)*Parametros!$E$45:$E$53)+SUMPRODUCT(((C13+$C$5)&gt;Parametros!$B$57:$B$58)*((C13+$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13" s="35">
        <f>D13+E13</f>
        <v/>
      </c>
      <c r="G13" s="25">
        <f>MAX(0,$C$4-B13-H13)</f>
        <v/>
      </c>
      <c r="H13" s="25">
        <f>MAX(MIN(MAX($C$4-B13,0),Parametros!$C$6*Parametros!$C$9*12)*Parametros!$C$8,Parametros!$C$10*12)</f>
        <v/>
      </c>
      <c r="I13" s="25">
        <f>IF(Inputs!$D$29=1,2*(SUMPRODUCT((((G13+$C$5)/2)&gt;Parametros!$B$45:$B$53)*(((G13+$C$5)/2)-Parametros!$B$45:$B$53)*Parametros!$E$45:$E$53)+SUMPRODUCT((((G13+$C$5)/2)&gt;Parametros!$B$57:$B$58)*(((G13+$C$5)/2)-Parametros!$B$57:$B$58)*Parametros!$E$57:$E$58)),SUMPRODUCT(((G13+$C$5)&gt;Parametros!$B$45:$B$53)*((G13+$C$5)-Parametros!$B$45:$B$53)*Parametros!$E$45:$E$53)+SUMPRODUCT(((G13+$C$5)&gt;Parametros!$B$57:$B$58)*((G13+$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13" s="35">
        <f>H13+I13</f>
        <v/>
      </c>
      <c r="K13" s="25">
        <f>F13-J13</f>
        <v/>
      </c>
      <c r="L13" s="28">
        <f>IF(AND(K13&gt;=0,K12&lt;0),A13,0)</f>
        <v/>
      </c>
    </row>
    <row r="14">
      <c r="A14" s="34" t="n">
        <v>0.35</v>
      </c>
      <c r="B14" s="25">
        <f>$C$4*A14</f>
        <v/>
      </c>
      <c r="C14" s="25">
        <f>$C$4*Parametros!$C$15+MAX(0,$C$4*Parametros!$C$16-(Parametros!$C$17+B14))-MAX(0,D14-$C$4*Parametros!$C$18)</f>
        <v/>
      </c>
      <c r="D14" s="25">
        <f>MAX(MIN($C$4*Parametros!$C$7,Parametros!$C$6*Parametros!$C$9*12)*Parametros!$C$8,Parametros!$C$10*12)</f>
        <v/>
      </c>
      <c r="E14" s="25">
        <f>IF(Inputs!$D$29=1,2*(SUMPRODUCT((((C14+$C$5)/2)&gt;Parametros!$B$45:$B$53)*(((C14+$C$5)/2)-Parametros!$B$45:$B$53)*Parametros!$E$45:$E$53)+SUMPRODUCT((((C14+$C$5)/2)&gt;Parametros!$B$57:$B$58)*(((C14+$C$5)/2)-Parametros!$B$57:$B$58)*Parametros!$E$57:$E$58)),SUMPRODUCT(((C14+$C$5)&gt;Parametros!$B$45:$B$53)*((C14+$C$5)-Parametros!$B$45:$B$53)*Parametros!$E$45:$E$53)+SUMPRODUCT(((C14+$C$5)&gt;Parametros!$B$57:$B$58)*((C14+$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14" s="35">
        <f>D14+E14</f>
        <v/>
      </c>
      <c r="G14" s="25">
        <f>MAX(0,$C$4-B14-H14)</f>
        <v/>
      </c>
      <c r="H14" s="25">
        <f>MAX(MIN(MAX($C$4-B14,0),Parametros!$C$6*Parametros!$C$9*12)*Parametros!$C$8,Parametros!$C$10*12)</f>
        <v/>
      </c>
      <c r="I14" s="25">
        <f>IF(Inputs!$D$29=1,2*(SUMPRODUCT((((G14+$C$5)/2)&gt;Parametros!$B$45:$B$53)*(((G14+$C$5)/2)-Parametros!$B$45:$B$53)*Parametros!$E$45:$E$53)+SUMPRODUCT((((G14+$C$5)/2)&gt;Parametros!$B$57:$B$58)*(((G14+$C$5)/2)-Parametros!$B$57:$B$58)*Parametros!$E$57:$E$58)),SUMPRODUCT(((G14+$C$5)&gt;Parametros!$B$45:$B$53)*((G14+$C$5)-Parametros!$B$45:$B$53)*Parametros!$E$45:$E$53)+SUMPRODUCT(((G14+$C$5)&gt;Parametros!$B$57:$B$58)*((G14+$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14" s="35">
        <f>H14+I14</f>
        <v/>
      </c>
      <c r="K14" s="25">
        <f>F14-J14</f>
        <v/>
      </c>
      <c r="L14" s="28">
        <f>IF(AND(K14&gt;=0,K13&lt;0),A14,0)</f>
        <v/>
      </c>
    </row>
    <row r="15">
      <c r="A15" s="34" t="n">
        <v>0.4</v>
      </c>
      <c r="B15" s="25">
        <f>$C$4*A15</f>
        <v/>
      </c>
      <c r="C15" s="25">
        <f>$C$4*Parametros!$C$15+MAX(0,$C$4*Parametros!$C$16-(Parametros!$C$17+B15))-MAX(0,D15-$C$4*Parametros!$C$18)</f>
        <v/>
      </c>
      <c r="D15" s="25">
        <f>MAX(MIN($C$4*Parametros!$C$7,Parametros!$C$6*Parametros!$C$9*12)*Parametros!$C$8,Parametros!$C$10*12)</f>
        <v/>
      </c>
      <c r="E15" s="25">
        <f>IF(Inputs!$D$29=1,2*(SUMPRODUCT((((C15+$C$5)/2)&gt;Parametros!$B$45:$B$53)*(((C15+$C$5)/2)-Parametros!$B$45:$B$53)*Parametros!$E$45:$E$53)+SUMPRODUCT((((C15+$C$5)/2)&gt;Parametros!$B$57:$B$58)*(((C15+$C$5)/2)-Parametros!$B$57:$B$58)*Parametros!$E$57:$E$58)),SUMPRODUCT(((C15+$C$5)&gt;Parametros!$B$45:$B$53)*((C15+$C$5)-Parametros!$B$45:$B$53)*Parametros!$E$45:$E$53)+SUMPRODUCT(((C15+$C$5)&gt;Parametros!$B$57:$B$58)*((C15+$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15" s="35">
        <f>D15+E15</f>
        <v/>
      </c>
      <c r="G15" s="25">
        <f>MAX(0,$C$4-B15-H15)</f>
        <v/>
      </c>
      <c r="H15" s="25">
        <f>MAX(MIN(MAX($C$4-B15,0),Parametros!$C$6*Parametros!$C$9*12)*Parametros!$C$8,Parametros!$C$10*12)</f>
        <v/>
      </c>
      <c r="I15" s="25">
        <f>IF(Inputs!$D$29=1,2*(SUMPRODUCT((((G15+$C$5)/2)&gt;Parametros!$B$45:$B$53)*(((G15+$C$5)/2)-Parametros!$B$45:$B$53)*Parametros!$E$45:$E$53)+SUMPRODUCT((((G15+$C$5)/2)&gt;Parametros!$B$57:$B$58)*(((G15+$C$5)/2)-Parametros!$B$57:$B$58)*Parametros!$E$57:$E$58)),SUMPRODUCT(((G15+$C$5)&gt;Parametros!$B$45:$B$53)*((G15+$C$5)-Parametros!$B$45:$B$53)*Parametros!$E$45:$E$53)+SUMPRODUCT(((G15+$C$5)&gt;Parametros!$B$57:$B$58)*((G15+$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15" s="35">
        <f>H15+I15</f>
        <v/>
      </c>
      <c r="K15" s="25">
        <f>F15-J15</f>
        <v/>
      </c>
      <c r="L15" s="28">
        <f>IF(AND(K15&gt;=0,K14&lt;0),A15,0)</f>
        <v/>
      </c>
    </row>
    <row r="16">
      <c r="A16" s="34" t="n">
        <v>0.45</v>
      </c>
      <c r="B16" s="25">
        <f>$C$4*A16</f>
        <v/>
      </c>
      <c r="C16" s="25">
        <f>$C$4*Parametros!$C$15+MAX(0,$C$4*Parametros!$C$16-(Parametros!$C$17+B16))-MAX(0,D16-$C$4*Parametros!$C$18)</f>
        <v/>
      </c>
      <c r="D16" s="25">
        <f>MAX(MIN($C$4*Parametros!$C$7,Parametros!$C$6*Parametros!$C$9*12)*Parametros!$C$8,Parametros!$C$10*12)</f>
        <v/>
      </c>
      <c r="E16" s="25">
        <f>IF(Inputs!$D$29=1,2*(SUMPRODUCT((((C16+$C$5)/2)&gt;Parametros!$B$45:$B$53)*(((C16+$C$5)/2)-Parametros!$B$45:$B$53)*Parametros!$E$45:$E$53)+SUMPRODUCT((((C16+$C$5)/2)&gt;Parametros!$B$57:$B$58)*(((C16+$C$5)/2)-Parametros!$B$57:$B$58)*Parametros!$E$57:$E$58)),SUMPRODUCT(((C16+$C$5)&gt;Parametros!$B$45:$B$53)*((C16+$C$5)-Parametros!$B$45:$B$53)*Parametros!$E$45:$E$53)+SUMPRODUCT(((C16+$C$5)&gt;Parametros!$B$57:$B$58)*((C16+$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16" s="35">
        <f>D16+E16</f>
        <v/>
      </c>
      <c r="G16" s="25">
        <f>MAX(0,$C$4-B16-H16)</f>
        <v/>
      </c>
      <c r="H16" s="25">
        <f>MAX(MIN(MAX($C$4-B16,0),Parametros!$C$6*Parametros!$C$9*12)*Parametros!$C$8,Parametros!$C$10*12)</f>
        <v/>
      </c>
      <c r="I16" s="25">
        <f>IF(Inputs!$D$29=1,2*(SUMPRODUCT((((G16+$C$5)/2)&gt;Parametros!$B$45:$B$53)*(((G16+$C$5)/2)-Parametros!$B$45:$B$53)*Parametros!$E$45:$E$53)+SUMPRODUCT((((G16+$C$5)/2)&gt;Parametros!$B$57:$B$58)*(((G16+$C$5)/2)-Parametros!$B$57:$B$58)*Parametros!$E$57:$E$58)),SUMPRODUCT(((G16+$C$5)&gt;Parametros!$B$45:$B$53)*((G16+$C$5)-Parametros!$B$45:$B$53)*Parametros!$E$45:$E$53)+SUMPRODUCT(((G16+$C$5)&gt;Parametros!$B$57:$B$58)*((G16+$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16" s="35">
        <f>H16+I16</f>
        <v/>
      </c>
      <c r="K16" s="25">
        <f>F16-J16</f>
        <v/>
      </c>
      <c r="L16" s="28">
        <f>IF(AND(K16&gt;=0,K15&lt;0),A16,0)</f>
        <v/>
      </c>
    </row>
    <row r="17">
      <c r="A17" s="34" t="n">
        <v>0.5</v>
      </c>
      <c r="B17" s="25">
        <f>$C$4*A17</f>
        <v/>
      </c>
      <c r="C17" s="25">
        <f>$C$4*Parametros!$C$15+MAX(0,$C$4*Parametros!$C$16-(Parametros!$C$17+B17))-MAX(0,D17-$C$4*Parametros!$C$18)</f>
        <v/>
      </c>
      <c r="D17" s="25">
        <f>MAX(MIN($C$4*Parametros!$C$7,Parametros!$C$6*Parametros!$C$9*12)*Parametros!$C$8,Parametros!$C$10*12)</f>
        <v/>
      </c>
      <c r="E17" s="25">
        <f>IF(Inputs!$D$29=1,2*(SUMPRODUCT((((C17+$C$5)/2)&gt;Parametros!$B$45:$B$53)*(((C17+$C$5)/2)-Parametros!$B$45:$B$53)*Parametros!$E$45:$E$53)+SUMPRODUCT((((C17+$C$5)/2)&gt;Parametros!$B$57:$B$58)*(((C17+$C$5)/2)-Parametros!$B$57:$B$58)*Parametros!$E$57:$E$58)),SUMPRODUCT(((C17+$C$5)&gt;Parametros!$B$45:$B$53)*((C17+$C$5)-Parametros!$B$45:$B$53)*Parametros!$E$45:$E$53)+SUMPRODUCT(((C17+$C$5)&gt;Parametros!$B$57:$B$58)*((C17+$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17" s="35">
        <f>D17+E17</f>
        <v/>
      </c>
      <c r="G17" s="25">
        <f>MAX(0,$C$4-B17-H17)</f>
        <v/>
      </c>
      <c r="H17" s="25">
        <f>MAX(MIN(MAX($C$4-B17,0),Parametros!$C$6*Parametros!$C$9*12)*Parametros!$C$8,Parametros!$C$10*12)</f>
        <v/>
      </c>
      <c r="I17" s="25">
        <f>IF(Inputs!$D$29=1,2*(SUMPRODUCT((((G17+$C$5)/2)&gt;Parametros!$B$45:$B$53)*(((G17+$C$5)/2)-Parametros!$B$45:$B$53)*Parametros!$E$45:$E$53)+SUMPRODUCT((((G17+$C$5)/2)&gt;Parametros!$B$57:$B$58)*(((G17+$C$5)/2)-Parametros!$B$57:$B$58)*Parametros!$E$57:$E$58)),SUMPRODUCT(((G17+$C$5)&gt;Parametros!$B$45:$B$53)*((G17+$C$5)-Parametros!$B$45:$B$53)*Parametros!$E$45:$E$53)+SUMPRODUCT(((G17+$C$5)&gt;Parametros!$B$57:$B$58)*((G17+$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17" s="35">
        <f>H17+I17</f>
        <v/>
      </c>
      <c r="K17" s="25">
        <f>F17-J17</f>
        <v/>
      </c>
      <c r="L17" s="28">
        <f>IF(AND(K17&gt;=0,K16&lt;0),A17,0)</f>
        <v/>
      </c>
    </row>
    <row r="18">
      <c r="A18" s="34" t="n">
        <v>0.55</v>
      </c>
      <c r="B18" s="25">
        <f>$C$4*A18</f>
        <v/>
      </c>
      <c r="C18" s="25">
        <f>$C$4*Parametros!$C$15+MAX(0,$C$4*Parametros!$C$16-(Parametros!$C$17+B18))-MAX(0,D18-$C$4*Parametros!$C$18)</f>
        <v/>
      </c>
      <c r="D18" s="25">
        <f>MAX(MIN($C$4*Parametros!$C$7,Parametros!$C$6*Parametros!$C$9*12)*Parametros!$C$8,Parametros!$C$10*12)</f>
        <v/>
      </c>
      <c r="E18" s="25">
        <f>IF(Inputs!$D$29=1,2*(SUMPRODUCT((((C18+$C$5)/2)&gt;Parametros!$B$45:$B$53)*(((C18+$C$5)/2)-Parametros!$B$45:$B$53)*Parametros!$E$45:$E$53)+SUMPRODUCT((((C18+$C$5)/2)&gt;Parametros!$B$57:$B$58)*(((C18+$C$5)/2)-Parametros!$B$57:$B$58)*Parametros!$E$57:$E$58)),SUMPRODUCT(((C18+$C$5)&gt;Parametros!$B$45:$B$53)*((C18+$C$5)-Parametros!$B$45:$B$53)*Parametros!$E$45:$E$53)+SUMPRODUCT(((C18+$C$5)&gt;Parametros!$B$57:$B$58)*((C18+$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18" s="35">
        <f>D18+E18</f>
        <v/>
      </c>
      <c r="G18" s="25">
        <f>MAX(0,$C$4-B18-H18)</f>
        <v/>
      </c>
      <c r="H18" s="25">
        <f>MAX(MIN(MAX($C$4-B18,0),Parametros!$C$6*Parametros!$C$9*12)*Parametros!$C$8,Parametros!$C$10*12)</f>
        <v/>
      </c>
      <c r="I18" s="25">
        <f>IF(Inputs!$D$29=1,2*(SUMPRODUCT((((G18+$C$5)/2)&gt;Parametros!$B$45:$B$53)*(((G18+$C$5)/2)-Parametros!$B$45:$B$53)*Parametros!$E$45:$E$53)+SUMPRODUCT((((G18+$C$5)/2)&gt;Parametros!$B$57:$B$58)*(((G18+$C$5)/2)-Parametros!$B$57:$B$58)*Parametros!$E$57:$E$58)),SUMPRODUCT(((G18+$C$5)&gt;Parametros!$B$45:$B$53)*((G18+$C$5)-Parametros!$B$45:$B$53)*Parametros!$E$45:$E$53)+SUMPRODUCT(((G18+$C$5)&gt;Parametros!$B$57:$B$58)*((G18+$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18" s="35">
        <f>H18+I18</f>
        <v/>
      </c>
      <c r="K18" s="25">
        <f>F18-J18</f>
        <v/>
      </c>
      <c r="L18" s="28">
        <f>IF(AND(K18&gt;=0,K17&lt;0),A18,0)</f>
        <v/>
      </c>
    </row>
    <row r="19">
      <c r="A19" s="34" t="n">
        <v>0.6000000000000001</v>
      </c>
      <c r="B19" s="25">
        <f>$C$4*A19</f>
        <v/>
      </c>
      <c r="C19" s="25">
        <f>$C$4*Parametros!$C$15+MAX(0,$C$4*Parametros!$C$16-(Parametros!$C$17+B19))-MAX(0,D19-$C$4*Parametros!$C$18)</f>
        <v/>
      </c>
      <c r="D19" s="25">
        <f>MAX(MIN($C$4*Parametros!$C$7,Parametros!$C$6*Parametros!$C$9*12)*Parametros!$C$8,Parametros!$C$10*12)</f>
        <v/>
      </c>
      <c r="E19" s="25">
        <f>IF(Inputs!$D$29=1,2*(SUMPRODUCT((((C19+$C$5)/2)&gt;Parametros!$B$45:$B$53)*(((C19+$C$5)/2)-Parametros!$B$45:$B$53)*Parametros!$E$45:$E$53)+SUMPRODUCT((((C19+$C$5)/2)&gt;Parametros!$B$57:$B$58)*(((C19+$C$5)/2)-Parametros!$B$57:$B$58)*Parametros!$E$57:$E$58)),SUMPRODUCT(((C19+$C$5)&gt;Parametros!$B$45:$B$53)*((C19+$C$5)-Parametros!$B$45:$B$53)*Parametros!$E$45:$E$53)+SUMPRODUCT(((C19+$C$5)&gt;Parametros!$B$57:$B$58)*((C19+$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19" s="35">
        <f>D19+E19</f>
        <v/>
      </c>
      <c r="G19" s="25">
        <f>MAX(0,$C$4-B19-H19)</f>
        <v/>
      </c>
      <c r="H19" s="25">
        <f>MAX(MIN(MAX($C$4-B19,0),Parametros!$C$6*Parametros!$C$9*12)*Parametros!$C$8,Parametros!$C$10*12)</f>
        <v/>
      </c>
      <c r="I19" s="25">
        <f>IF(Inputs!$D$29=1,2*(SUMPRODUCT((((G19+$C$5)/2)&gt;Parametros!$B$45:$B$53)*(((G19+$C$5)/2)-Parametros!$B$45:$B$53)*Parametros!$E$45:$E$53)+SUMPRODUCT((((G19+$C$5)/2)&gt;Parametros!$B$57:$B$58)*(((G19+$C$5)/2)-Parametros!$B$57:$B$58)*Parametros!$E$57:$E$58)),SUMPRODUCT(((G19+$C$5)&gt;Parametros!$B$45:$B$53)*((G19+$C$5)-Parametros!$B$45:$B$53)*Parametros!$E$45:$E$53)+SUMPRODUCT(((G19+$C$5)&gt;Parametros!$B$57:$B$58)*((G19+$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19" s="35">
        <f>H19+I19</f>
        <v/>
      </c>
      <c r="K19" s="25">
        <f>F19-J19</f>
        <v/>
      </c>
      <c r="L19" s="28">
        <f>IF(AND(K19&gt;=0,K18&lt;0),A19,0)</f>
        <v/>
      </c>
    </row>
    <row r="20">
      <c r="A20" s="34" t="n">
        <v>0.65</v>
      </c>
      <c r="B20" s="25">
        <f>$C$4*A20</f>
        <v/>
      </c>
      <c r="C20" s="25">
        <f>$C$4*Parametros!$C$15+MAX(0,$C$4*Parametros!$C$16-(Parametros!$C$17+B20))-MAX(0,D20-$C$4*Parametros!$C$18)</f>
        <v/>
      </c>
      <c r="D20" s="25">
        <f>MAX(MIN($C$4*Parametros!$C$7,Parametros!$C$6*Parametros!$C$9*12)*Parametros!$C$8,Parametros!$C$10*12)</f>
        <v/>
      </c>
      <c r="E20" s="25">
        <f>IF(Inputs!$D$29=1,2*(SUMPRODUCT((((C20+$C$5)/2)&gt;Parametros!$B$45:$B$53)*(((C20+$C$5)/2)-Parametros!$B$45:$B$53)*Parametros!$E$45:$E$53)+SUMPRODUCT((((C20+$C$5)/2)&gt;Parametros!$B$57:$B$58)*(((C20+$C$5)/2)-Parametros!$B$57:$B$58)*Parametros!$E$57:$E$58)),SUMPRODUCT(((C20+$C$5)&gt;Parametros!$B$45:$B$53)*((C20+$C$5)-Parametros!$B$45:$B$53)*Parametros!$E$45:$E$53)+SUMPRODUCT(((C20+$C$5)&gt;Parametros!$B$57:$B$58)*((C20+$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20" s="35">
        <f>D20+E20</f>
        <v/>
      </c>
      <c r="G20" s="25">
        <f>MAX(0,$C$4-B20-H20)</f>
        <v/>
      </c>
      <c r="H20" s="25">
        <f>MAX(MIN(MAX($C$4-B20,0),Parametros!$C$6*Parametros!$C$9*12)*Parametros!$C$8,Parametros!$C$10*12)</f>
        <v/>
      </c>
      <c r="I20" s="25">
        <f>IF(Inputs!$D$29=1,2*(SUMPRODUCT((((G20+$C$5)/2)&gt;Parametros!$B$45:$B$53)*(((G20+$C$5)/2)-Parametros!$B$45:$B$53)*Parametros!$E$45:$E$53)+SUMPRODUCT((((G20+$C$5)/2)&gt;Parametros!$B$57:$B$58)*(((G20+$C$5)/2)-Parametros!$B$57:$B$58)*Parametros!$E$57:$E$58)),SUMPRODUCT(((G20+$C$5)&gt;Parametros!$B$45:$B$53)*((G20+$C$5)-Parametros!$B$45:$B$53)*Parametros!$E$45:$E$53)+SUMPRODUCT(((G20+$C$5)&gt;Parametros!$B$57:$B$58)*((G20+$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20" s="35">
        <f>H20+I20</f>
        <v/>
      </c>
      <c r="K20" s="25">
        <f>F20-J20</f>
        <v/>
      </c>
      <c r="L20" s="28">
        <f>IF(AND(K20&gt;=0,K19&lt;0),A20,0)</f>
        <v/>
      </c>
    </row>
    <row r="21">
      <c r="A21" s="34" t="n">
        <v>0.7000000000000001</v>
      </c>
      <c r="B21" s="25">
        <f>$C$4*A21</f>
        <v/>
      </c>
      <c r="C21" s="25">
        <f>$C$4*Parametros!$C$15+MAX(0,$C$4*Parametros!$C$16-(Parametros!$C$17+B21))-MAX(0,D21-$C$4*Parametros!$C$18)</f>
        <v/>
      </c>
      <c r="D21" s="25">
        <f>MAX(MIN($C$4*Parametros!$C$7,Parametros!$C$6*Parametros!$C$9*12)*Parametros!$C$8,Parametros!$C$10*12)</f>
        <v/>
      </c>
      <c r="E21" s="25">
        <f>IF(Inputs!$D$29=1,2*(SUMPRODUCT((((C21+$C$5)/2)&gt;Parametros!$B$45:$B$53)*(((C21+$C$5)/2)-Parametros!$B$45:$B$53)*Parametros!$E$45:$E$53)+SUMPRODUCT((((C21+$C$5)/2)&gt;Parametros!$B$57:$B$58)*(((C21+$C$5)/2)-Parametros!$B$57:$B$58)*Parametros!$E$57:$E$58)),SUMPRODUCT(((C21+$C$5)&gt;Parametros!$B$45:$B$53)*((C21+$C$5)-Parametros!$B$45:$B$53)*Parametros!$E$45:$E$53)+SUMPRODUCT(((C21+$C$5)&gt;Parametros!$B$57:$B$58)*((C21+$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21" s="35">
        <f>D21+E21</f>
        <v/>
      </c>
      <c r="G21" s="25">
        <f>MAX(0,$C$4-B21-H21)</f>
        <v/>
      </c>
      <c r="H21" s="25">
        <f>MAX(MIN(MAX($C$4-B21,0),Parametros!$C$6*Parametros!$C$9*12)*Parametros!$C$8,Parametros!$C$10*12)</f>
        <v/>
      </c>
      <c r="I21" s="25">
        <f>IF(Inputs!$D$29=1,2*(SUMPRODUCT((((G21+$C$5)/2)&gt;Parametros!$B$45:$B$53)*(((G21+$C$5)/2)-Parametros!$B$45:$B$53)*Parametros!$E$45:$E$53)+SUMPRODUCT((((G21+$C$5)/2)&gt;Parametros!$B$57:$B$58)*(((G21+$C$5)/2)-Parametros!$B$57:$B$58)*Parametros!$E$57:$E$58)),SUMPRODUCT(((G21+$C$5)&gt;Parametros!$B$45:$B$53)*((G21+$C$5)-Parametros!$B$45:$B$53)*Parametros!$E$45:$E$53)+SUMPRODUCT(((G21+$C$5)&gt;Parametros!$B$57:$B$58)*((G21+$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21" s="35">
        <f>H21+I21</f>
        <v/>
      </c>
      <c r="K21" s="25">
        <f>F21-J21</f>
        <v/>
      </c>
      <c r="L21" s="28">
        <f>IF(AND(K21&gt;=0,K20&lt;0),A21,0)</f>
        <v/>
      </c>
    </row>
    <row r="22">
      <c r="A22" s="34" t="n">
        <v>0.75</v>
      </c>
      <c r="B22" s="25">
        <f>$C$4*A22</f>
        <v/>
      </c>
      <c r="C22" s="25">
        <f>$C$4*Parametros!$C$15+MAX(0,$C$4*Parametros!$C$16-(Parametros!$C$17+B22))-MAX(0,D22-$C$4*Parametros!$C$18)</f>
        <v/>
      </c>
      <c r="D22" s="25">
        <f>MAX(MIN($C$4*Parametros!$C$7,Parametros!$C$6*Parametros!$C$9*12)*Parametros!$C$8,Parametros!$C$10*12)</f>
        <v/>
      </c>
      <c r="E22" s="25">
        <f>IF(Inputs!$D$29=1,2*(SUMPRODUCT((((C22+$C$5)/2)&gt;Parametros!$B$45:$B$53)*(((C22+$C$5)/2)-Parametros!$B$45:$B$53)*Parametros!$E$45:$E$53)+SUMPRODUCT((((C22+$C$5)/2)&gt;Parametros!$B$57:$B$58)*(((C22+$C$5)/2)-Parametros!$B$57:$B$58)*Parametros!$E$57:$E$58)),SUMPRODUCT(((C22+$C$5)&gt;Parametros!$B$45:$B$53)*((C22+$C$5)-Parametros!$B$45:$B$53)*Parametros!$E$45:$E$53)+SUMPRODUCT(((C22+$C$5)&gt;Parametros!$B$57:$B$58)*((C22+$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F22" s="35">
        <f>D22+E22</f>
        <v/>
      </c>
      <c r="G22" s="25">
        <f>MAX(0,$C$4-B22-H22)</f>
        <v/>
      </c>
      <c r="H22" s="25">
        <f>MAX(MIN(MAX($C$4-B22,0),Parametros!$C$6*Parametros!$C$9*12)*Parametros!$C$8,Parametros!$C$10*12)</f>
        <v/>
      </c>
      <c r="I22" s="25">
        <f>IF(Inputs!$D$29=1,2*(SUMPRODUCT((((G22+$C$5)/2)&gt;Parametros!$B$45:$B$53)*(((G22+$C$5)/2)-Parametros!$B$45:$B$53)*Parametros!$E$45:$E$53)+SUMPRODUCT((((G22+$C$5)/2)&gt;Parametros!$B$57:$B$58)*(((G22+$C$5)/2)-Parametros!$B$57:$B$58)*Parametros!$E$57:$E$58)),SUMPRODUCT(((G22+$C$5)&gt;Parametros!$B$45:$B$53)*((G22+$C$5)-Parametros!$B$45:$B$53)*Parametros!$E$45:$E$53)+SUMPRODUCT(((G22+$C$5)&gt;Parametros!$B$57:$B$58)*((G22+$C$5)-Parametros!$B$57:$B$58)*Parametros!$E$57:$E$58))-IF(Inputs!$D$29=1,2*(SUMPRODUCT(((($C$5)/2)&gt;Parametros!$B$45:$B$53)*((($C$5)/2)-Parametros!$B$45:$B$53)*Parametros!$E$45:$E$53)+SUMPRODUCT(((($C$5)/2)&gt;Parametros!$B$57:$B$58)*((($C$5)/2)-Parametros!$B$57:$B$58)*Parametros!$E$57:$E$58)),SUMPRODUCT((($C$5)&gt;Parametros!$B$45:$B$53)*(($C$5)-Parametros!$B$45:$B$53)*Parametros!$E$45:$E$53)+SUMPRODUCT((($C$5)&gt;Parametros!$B$57:$B$58)*(($C$5)-Parametros!$B$57:$B$58)*Parametros!$E$57:$E$58))</f>
        <v/>
      </c>
      <c r="J22" s="35">
        <f>H22+I22</f>
        <v/>
      </c>
      <c r="K22" s="25">
        <f>F22-J22</f>
        <v/>
      </c>
      <c r="L22" s="28">
        <f>IF(AND(K22&gt;=0,K21&lt;0),A22,0)</f>
        <v/>
      </c>
    </row>
    <row r="24">
      <c r="A24" s="26" t="inlineStr">
        <is>
          <t>Ponto de viragem — peso dos custos reais</t>
        </is>
      </c>
      <c r="C24" s="36">
        <f>MAX(L8:L22)</f>
        <v/>
      </c>
      <c r="E24" s="9" t="inlineStr">
        <is>
          <t>Acima deste peso de custos, a contabilidade organizada passa a entregar mais líquido. Resolução de 5 pontos percentuais — refinar por interpolação se o valor cair perto de um limite.</t>
        </is>
      </c>
    </row>
    <row r="25">
      <c r="A25" s="26" t="inlineStr">
        <is>
          <t>Ponto de viragem — em euros de custos anuais</t>
        </is>
      </c>
      <c r="C25" s="27">
        <f>C24*$C$4</f>
        <v/>
      </c>
    </row>
    <row r="27" ht="40" customHeight="1">
      <c r="A27" s="19" t="inlineStr">
        <is>
          <t>Simplificação assumida nesta folha: os custos reais são simultaneamente dedutíveis na via 2 e justificáveis na via 1. No caso concreto as duas bases não coincidem exatamente (amortizações versus aquisições do ano). O ponto de viragem apurado é, por isso, conservador — a via 2 tende a virar mais cedo do que aqui aparece. Registado em R1-09.</t>
        </is>
      </c>
    </row>
  </sheetData>
  <mergeCells count="2">
    <mergeCell ref="A2:L2"/>
    <mergeCell ref="A27:L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30" customWidth="1" min="1" max="1"/>
    <col width="10" customWidth="1" min="2" max="2"/>
    <col width="30" customWidth="1" min="3" max="3"/>
    <col width="16" customWidth="1" min="4" max="4"/>
    <col width="18" customWidth="1" min="5" max="5"/>
    <col width="12" customWidth="1" min="6" max="6"/>
    <col width="12" customWidth="1" min="7" max="7"/>
    <col width="22" customWidth="1" min="8" max="8"/>
    <col width="12" customWidth="1" min="9" max="9"/>
  </cols>
  <sheetData>
    <row r="1">
      <c r="A1" s="1" t="inlineStr">
        <is>
          <t>M1 — Validação</t>
        </is>
      </c>
    </row>
    <row r="2" ht="46" customHeight="1">
      <c r="A2" s="19" t="inlineStr">
        <is>
          <t>Cada linha confronta o valor produzido pela folha de cálculo com um recálculo independente, escrito a partir das mesmas normas sem reutilizar nenhuma fórmula do modelo. Uma divergência significa que uma das duas implementações está errada. Nenhum número entra no relatório com esta folha vermelha, nem sem a assinatura das colunas H e I.</t>
        </is>
      </c>
    </row>
    <row r="4" ht="28" customHeight="1">
      <c r="A4" s="6" t="inlineStr">
        <is>
          <t>Verificação</t>
        </is>
      </c>
      <c r="B4" s="6" t="inlineStr">
        <is>
          <t>Cenário</t>
        </is>
      </c>
      <c r="C4" s="6" t="inlineStr">
        <is>
          <t>Grandeza</t>
        </is>
      </c>
      <c r="D4" s="6" t="inlineStr">
        <is>
          <t>Valor do modelo</t>
        </is>
      </c>
      <c r="E4" s="6" t="inlineStr">
        <is>
          <t>Recálculo independente</t>
        </is>
      </c>
      <c r="F4" s="6" t="inlineStr">
        <is>
          <t>Diferença</t>
        </is>
      </c>
      <c r="G4" s="6" t="inlineStr">
        <is>
          <t>Estado</t>
        </is>
      </c>
      <c r="H4" s="6" t="inlineStr">
        <is>
          <t>Validado por (assinatura)</t>
        </is>
      </c>
      <c r="I4" s="6" t="inlineStr">
        <is>
          <t>Data</t>
        </is>
      </c>
    </row>
    <row r="5">
      <c r="A5" s="8" t="inlineStr">
        <is>
          <t>V1 — ENI simplificado</t>
        </is>
      </c>
      <c r="B5" s="8" t="inlineStr">
        <is>
          <t>Base</t>
        </is>
      </c>
      <c r="C5" s="8" t="inlineStr">
        <is>
          <t>IRS imputável à atividade</t>
        </is>
      </c>
      <c r="D5" s="37">
        <f>V1_ENI_Simplificado!$D$30</f>
        <v/>
      </c>
      <c r="E5" s="38" t="n">
        <v>19272.58</v>
      </c>
      <c r="F5" s="39">
        <f>D5-E5</f>
        <v/>
      </c>
      <c r="G5" s="40">
        <f>IF(ABS(F5)&lt;0.5,"OK","DIVERGE")</f>
        <v/>
      </c>
      <c r="H5" s="41" t="n"/>
      <c r="I5" s="41" t="n"/>
    </row>
    <row r="6">
      <c r="A6" s="8" t="inlineStr"/>
      <c r="B6" s="8" t="inlineStr">
        <is>
          <t>Base</t>
        </is>
      </c>
      <c r="C6" s="8" t="inlineStr">
        <is>
          <t>Segurança Social (total)</t>
        </is>
      </c>
      <c r="D6" s="37">
        <f>V1_ENI_Simplificado!$D$20</f>
        <v/>
      </c>
      <c r="E6" s="38" t="n">
        <v>14231</v>
      </c>
      <c r="F6" s="39">
        <f>D6-E6</f>
        <v/>
      </c>
      <c r="G6" s="40">
        <f>IF(ABS(F6)&lt;0.5,"OK","DIVERGE")</f>
        <v/>
      </c>
      <c r="H6" s="41" t="n"/>
      <c r="I6" s="41" t="n"/>
    </row>
    <row r="7">
      <c r="A7" s="8" t="inlineStr"/>
      <c r="B7" s="8" t="inlineStr">
        <is>
          <t>Base</t>
        </is>
      </c>
      <c r="C7" s="8" t="inlineStr">
        <is>
          <t>Total impostos e contribuições</t>
        </is>
      </c>
      <c r="D7" s="37">
        <f>V1_ENI_Simplificado!$D$34</f>
        <v/>
      </c>
      <c r="E7" s="38" t="n">
        <v>33503.58</v>
      </c>
      <c r="F7" s="39">
        <f>D7-E7</f>
        <v/>
      </c>
      <c r="G7" s="40">
        <f>IF(ABS(F7)&lt;0.5,"OK","DIVERGE")</f>
        <v/>
      </c>
      <c r="H7" s="41" t="n"/>
      <c r="I7" s="41" t="n"/>
    </row>
    <row r="8">
      <c r="A8" s="8" t="inlineStr"/>
      <c r="B8" s="8" t="inlineStr">
        <is>
          <t>Base</t>
        </is>
      </c>
      <c r="C8" s="8" t="inlineStr">
        <is>
          <t>Líquido para a sócia</t>
        </is>
      </c>
      <c r="D8" s="37">
        <f>V1_ENI_Simplificado!$D$38</f>
        <v/>
      </c>
      <c r="E8" s="38" t="n">
        <v>8746.42</v>
      </c>
      <c r="F8" s="39">
        <f>D8-E8</f>
        <v/>
      </c>
      <c r="G8" s="40">
        <f>IF(ABS(F8)&lt;0.5,"OK","DIVERGE")</f>
        <v/>
      </c>
      <c r="H8" s="41" t="n"/>
      <c r="I8" s="41" t="n"/>
    </row>
    <row r="10">
      <c r="A10" s="8" t="inlineStr">
        <is>
          <t>V2 — ENI cont. organizada</t>
        </is>
      </c>
      <c r="B10" s="8" t="inlineStr">
        <is>
          <t>Base</t>
        </is>
      </c>
      <c r="C10" s="8" t="inlineStr">
        <is>
          <t>IRS imputável à atividade</t>
        </is>
      </c>
      <c r="D10" s="37">
        <f>V2_ENI_ContOrg!$D$22</f>
        <v/>
      </c>
      <c r="E10" s="38" t="n">
        <v>5970.77</v>
      </c>
      <c r="F10" s="39">
        <f>D10-E10</f>
        <v/>
      </c>
      <c r="G10" s="40">
        <f>IF(ABS(F10)&lt;0.5,"OK","DIVERGE")</f>
        <v/>
      </c>
      <c r="H10" s="41" t="n"/>
      <c r="I10" s="41" t="n"/>
    </row>
    <row r="11">
      <c r="A11" s="8" t="inlineStr"/>
      <c r="B11" s="8" t="inlineStr">
        <is>
          <t>Base</t>
        </is>
      </c>
      <c r="C11" s="8" t="inlineStr">
        <is>
          <t>Segurança Social (total)</t>
        </is>
      </c>
      <c r="D11" s="37">
        <f>V2_ENI_ContOrg!$D$13</f>
        <v/>
      </c>
      <c r="E11" s="38" t="n">
        <v>7507.85</v>
      </c>
      <c r="F11" s="39">
        <f>D11-E11</f>
        <v/>
      </c>
      <c r="G11" s="40">
        <f>IF(ABS(F11)&lt;0.5,"OK","DIVERGE")</f>
        <v/>
      </c>
      <c r="H11" s="41" t="n"/>
      <c r="I11" s="41" t="n"/>
    </row>
    <row r="12">
      <c r="A12" s="8" t="inlineStr"/>
      <c r="B12" s="8" t="inlineStr">
        <is>
          <t>Base</t>
        </is>
      </c>
      <c r="C12" s="8" t="inlineStr">
        <is>
          <t>Total impostos e contribuições</t>
        </is>
      </c>
      <c r="D12" s="37">
        <f>V2_ENI_ContOrg!$D$26</f>
        <v/>
      </c>
      <c r="E12" s="38" t="n">
        <v>13478.62</v>
      </c>
      <c r="F12" s="39">
        <f>D12-E12</f>
        <v/>
      </c>
      <c r="G12" s="40">
        <f>IF(ABS(F12)&lt;0.5,"OK","DIVERGE")</f>
        <v/>
      </c>
      <c r="H12" s="41" t="n"/>
      <c r="I12" s="41" t="n"/>
    </row>
    <row r="13">
      <c r="A13" s="8" t="inlineStr"/>
      <c r="B13" s="8" t="inlineStr">
        <is>
          <t>Base</t>
        </is>
      </c>
      <c r="C13" s="8" t="inlineStr">
        <is>
          <t>Líquido para a sócia</t>
        </is>
      </c>
      <c r="D13" s="37">
        <f>V2_ENI_ContOrg!$D$30</f>
        <v/>
      </c>
      <c r="E13" s="38" t="n">
        <v>28771.38</v>
      </c>
      <c r="F13" s="39">
        <f>D13-E13</f>
        <v/>
      </c>
      <c r="G13" s="40">
        <f>IF(ABS(F13)&lt;0.5,"OK","DIVERGE")</f>
        <v/>
      </c>
      <c r="H13" s="41" t="n"/>
      <c r="I13" s="41" t="n"/>
    </row>
    <row r="15">
      <c r="A15" s="8" t="inlineStr">
        <is>
          <t>V3 — Soc. transparente</t>
        </is>
      </c>
      <c r="B15" s="8" t="inlineStr">
        <is>
          <t>Base</t>
        </is>
      </c>
      <c r="C15" s="8" t="inlineStr">
        <is>
          <t>IRS imputável à atividade</t>
        </is>
      </c>
      <c r="D15" s="37">
        <f>V3_Soc_Transparente!$D$28</f>
        <v/>
      </c>
      <c r="E15" s="38" t="n">
        <v>5786.72</v>
      </c>
      <c r="F15" s="39">
        <f>D15-E15</f>
        <v/>
      </c>
      <c r="G15" s="40">
        <f>IF(ABS(F15)&lt;0.5,"OK","DIVERGE")</f>
        <v/>
      </c>
      <c r="H15" s="41" t="n"/>
      <c r="I15" s="41" t="n"/>
    </row>
    <row r="16">
      <c r="A16" s="8" t="inlineStr"/>
      <c r="B16" s="8" t="inlineStr">
        <is>
          <t>Base</t>
        </is>
      </c>
      <c r="C16" s="8" t="inlineStr">
        <is>
          <t>Segurança Social (total)</t>
        </is>
      </c>
      <c r="D16" s="37">
        <f>V3_Soc_Transparente!$D$18+V3_Soc_Transparente!$D$12</f>
        <v/>
      </c>
      <c r="E16" s="38" t="n">
        <v>5838</v>
      </c>
      <c r="F16" s="39">
        <f>D16-E16</f>
        <v/>
      </c>
      <c r="G16" s="40">
        <f>IF(ABS(F16)&lt;0.5,"OK","DIVERGE")</f>
        <v/>
      </c>
      <c r="H16" s="41" t="n"/>
      <c r="I16" s="41" t="n"/>
    </row>
    <row r="17">
      <c r="A17" s="8" t="inlineStr"/>
      <c r="B17" s="8" t="inlineStr">
        <is>
          <t>Base</t>
        </is>
      </c>
      <c r="C17" s="8" t="inlineStr">
        <is>
          <t>Total impostos e contribuições</t>
        </is>
      </c>
      <c r="D17" s="37">
        <f>V3_Soc_Transparente!$D$32</f>
        <v/>
      </c>
      <c r="E17" s="38" t="n">
        <v>12424.72</v>
      </c>
      <c r="F17" s="39">
        <f>D17-E17</f>
        <v/>
      </c>
      <c r="G17" s="40">
        <f>IF(ABS(F17)&lt;0.5,"OK","DIVERGE")</f>
        <v/>
      </c>
      <c r="H17" s="41" t="n"/>
      <c r="I17" s="41" t="n"/>
    </row>
    <row r="18">
      <c r="A18" s="8" t="inlineStr"/>
      <c r="B18" s="8" t="inlineStr">
        <is>
          <t>Base</t>
        </is>
      </c>
      <c r="C18" s="8" t="inlineStr">
        <is>
          <t>Líquido para a sócia</t>
        </is>
      </c>
      <c r="D18" s="37">
        <f>V3_Soc_Transparente!$D$36</f>
        <v/>
      </c>
      <c r="E18" s="38" t="n">
        <v>29825.28</v>
      </c>
      <c r="F18" s="39">
        <f>D18-E18</f>
        <v/>
      </c>
      <c r="G18" s="40">
        <f>IF(ABS(F18)&lt;0.5,"OK","DIVERGE")</f>
        <v/>
      </c>
      <c r="H18" s="41" t="n"/>
      <c r="I18" s="41" t="n"/>
    </row>
    <row r="20">
      <c r="A20" s="8" t="inlineStr">
        <is>
          <t>V4 — Soc. não transparente</t>
        </is>
      </c>
      <c r="B20" s="8" t="inlineStr">
        <is>
          <t>Base</t>
        </is>
      </c>
      <c r="C20" s="8" t="inlineStr">
        <is>
          <t>IRS imputável à atividade</t>
        </is>
      </c>
      <c r="D20" s="37">
        <f>V4_Soc_NaoTransparente!$D$35</f>
        <v/>
      </c>
      <c r="E20" s="38" t="n">
        <v>2382.04</v>
      </c>
      <c r="F20" s="39">
        <f>D20-E20</f>
        <v/>
      </c>
      <c r="G20" s="40">
        <f>IF(ABS(F20)&lt;0.5,"OK","DIVERGE")</f>
        <v/>
      </c>
      <c r="H20" s="41" t="n"/>
      <c r="I20" s="41" t="n"/>
    </row>
    <row r="21">
      <c r="A21" s="8" t="inlineStr"/>
      <c r="B21" s="8" t="inlineStr">
        <is>
          <t>Base</t>
        </is>
      </c>
      <c r="C21" s="8" t="inlineStr">
        <is>
          <t>Segurança Social (total)</t>
        </is>
      </c>
      <c r="D21" s="37">
        <f>V4_Soc_NaoTransparente!$D$37+V4_Soc_NaoTransparente!$D$13</f>
        <v/>
      </c>
      <c r="E21" s="38" t="n">
        <v>5838</v>
      </c>
      <c r="F21" s="39">
        <f>D21-E21</f>
        <v/>
      </c>
      <c r="G21" s="40">
        <f>IF(ABS(F21)&lt;0.5,"OK","DIVERGE")</f>
        <v/>
      </c>
      <c r="H21" s="41" t="n"/>
      <c r="I21" s="41" t="n"/>
    </row>
    <row r="22">
      <c r="A22" s="8" t="inlineStr"/>
      <c r="B22" s="8" t="inlineStr">
        <is>
          <t>Base</t>
        </is>
      </c>
      <c r="C22" s="8" t="inlineStr">
        <is>
          <t>Total impostos e contribuições</t>
        </is>
      </c>
      <c r="D22" s="37">
        <f>V4_Soc_NaoTransparente!$D$40</f>
        <v/>
      </c>
      <c r="E22" s="38" t="n">
        <v>16605.81</v>
      </c>
      <c r="F22" s="39">
        <f>D22-E22</f>
        <v/>
      </c>
      <c r="G22" s="40">
        <f>IF(ABS(F22)&lt;0.5,"OK","DIVERGE")</f>
        <v/>
      </c>
      <c r="H22" s="41" t="n"/>
      <c r="I22" s="41" t="n"/>
    </row>
    <row r="23">
      <c r="A23" s="8" t="inlineStr"/>
      <c r="B23" s="8" t="inlineStr">
        <is>
          <t>Base</t>
        </is>
      </c>
      <c r="C23" s="8" t="inlineStr">
        <is>
          <t>Líquido para a sócia</t>
        </is>
      </c>
      <c r="D23" s="37">
        <f>V4_Soc_NaoTransparente!$D$44</f>
        <v/>
      </c>
      <c r="E23" s="38" t="n">
        <v>22244.89</v>
      </c>
      <c r="F23" s="39">
        <f>D23-E23</f>
        <v/>
      </c>
      <c r="G23" s="40">
        <f>IF(ABS(F23)&lt;0.5,"OK","DIVERGE")</f>
        <v/>
      </c>
      <c r="H23" s="41" t="n"/>
      <c r="I23" s="41" t="n"/>
    </row>
    <row r="25">
      <c r="A25" s="8" t="inlineStr">
        <is>
          <t>V1 — ENI simplificado</t>
        </is>
      </c>
      <c r="B25" s="8" t="inlineStr">
        <is>
          <t>Alto</t>
        </is>
      </c>
      <c r="C25" s="8" t="inlineStr">
        <is>
          <t>IRS imputável à atividade</t>
        </is>
      </c>
      <c r="D25" s="37">
        <f>V1_ENI_Simplificado!$E$30</f>
        <v/>
      </c>
      <c r="E25" s="38" t="n">
        <v>32769.07</v>
      </c>
      <c r="F25" s="39">
        <f>D25-E25</f>
        <v/>
      </c>
      <c r="G25" s="40">
        <f>IF(ABS(F25)&lt;0.5,"OK","DIVERGE")</f>
        <v/>
      </c>
      <c r="H25" s="41" t="n"/>
      <c r="I25" s="41" t="n"/>
    </row>
    <row r="26">
      <c r="A26" s="8" t="inlineStr"/>
      <c r="B26" s="8" t="inlineStr">
        <is>
          <t>Alto</t>
        </is>
      </c>
      <c r="C26" s="8" t="inlineStr">
        <is>
          <t>Segurança Social (total)</t>
        </is>
      </c>
      <c r="D26" s="37">
        <f>V1_ENI_Simplificado!$E$20</f>
        <v/>
      </c>
      <c r="E26" s="38" t="n">
        <v>16101.36</v>
      </c>
      <c r="F26" s="39">
        <f>D26-E26</f>
        <v/>
      </c>
      <c r="G26" s="40">
        <f>IF(ABS(F26)&lt;0.5,"OK","DIVERGE")</f>
        <v/>
      </c>
      <c r="H26" s="41" t="n"/>
      <c r="I26" s="41" t="n"/>
    </row>
    <row r="27">
      <c r="A27" s="8" t="inlineStr"/>
      <c r="B27" s="8" t="inlineStr">
        <is>
          <t>Alto</t>
        </is>
      </c>
      <c r="C27" s="8" t="inlineStr">
        <is>
          <t>Total impostos e contribuições</t>
        </is>
      </c>
      <c r="D27" s="37">
        <f>V1_ENI_Simplificado!$E$34</f>
        <v/>
      </c>
      <c r="E27" s="38" t="n">
        <v>48870.43</v>
      </c>
      <c r="F27" s="39">
        <f>D27-E27</f>
        <v/>
      </c>
      <c r="G27" s="40">
        <f>IF(ABS(F27)&lt;0.5,"OK","DIVERGE")</f>
        <v/>
      </c>
      <c r="H27" s="41" t="n"/>
      <c r="I27" s="41" t="n"/>
    </row>
    <row r="28">
      <c r="A28" s="8" t="inlineStr"/>
      <c r="B28" s="8" t="inlineStr">
        <is>
          <t>Alto</t>
        </is>
      </c>
      <c r="C28" s="8" t="inlineStr">
        <is>
          <t>Líquido para a sócia</t>
        </is>
      </c>
      <c r="D28" s="37">
        <f>V1_ENI_Simplificado!$E$38</f>
        <v/>
      </c>
      <c r="E28" s="38" t="n">
        <v>7329.57</v>
      </c>
      <c r="F28" s="39">
        <f>D28-E28</f>
        <v/>
      </c>
      <c r="G28" s="40">
        <f>IF(ABS(F28)&lt;0.5,"OK","DIVERGE")</f>
        <v/>
      </c>
      <c r="H28" s="41" t="n"/>
      <c r="I28" s="41" t="n"/>
    </row>
    <row r="30">
      <c r="A30" s="26" t="inlineStr">
        <is>
          <t>Estado global</t>
        </is>
      </c>
      <c r="D30" s="30">
        <f>IF(COUNTIF($G$6:$G$28,"DIVERGE")=0,"TODAS AS VERIFICAÇÕES OK","HÁ DIVERGÊNCIAS")</f>
        <v/>
      </c>
      <c r="E30" s="31" t="n"/>
      <c r="F30" s="31" t="n"/>
      <c r="G30" s="32" t="n"/>
    </row>
    <row r="32" ht="46" customHeight="1">
      <c r="A32" s="19" t="inlineStr">
        <is>
          <t>O que esta folha NÃO valida: que os parâmetros da folha Parâmetros estejam corretos e em vigor para 2026, e que a leitura normativa esteja certa. Duas implementações da mesma leitura errada concordam perfeitamente. A validação normativa é da equipa de Fiscalidade e assina-se na coluna H.</t>
        </is>
      </c>
    </row>
  </sheetData>
  <mergeCells count="3">
    <mergeCell ref="D30:G30"/>
    <mergeCell ref="A32:I32"/>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2026-08-22T00:11:15Z</dcterms:created>
  <dcterms:modified xsi:type="dcterms:W3CDTF">2026-08-22T00:11:15Z</dcterms:modified>
</cp:coreProperties>
</file>