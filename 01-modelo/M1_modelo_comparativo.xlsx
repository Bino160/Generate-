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5.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Parametros" sheetId="2" state="visible" r:id="rId2"/>
    <sheet name="Operacao" sheetId="3" state="visible" r:id="rId3"/>
    <sheet name="Inputs" sheetId="4" state="visible" r:id="rId4"/>
    <sheet name="V1_ENI_Simplificado" sheetId="5" state="visible" r:id="rId5"/>
    <sheet name="V2_ENI_ContOrg" sheetId="6" state="visible" r:id="rId6"/>
    <sheet name="V3_Soc_Transparente" sheetId="7" state="visible" r:id="rId7"/>
    <sheet name="V4_Soc_NaoTransparente" sheetId="8" state="visible" r:id="rId8"/>
    <sheet name="IVA" sheetId="9" state="visible" r:id="rId9"/>
    <sheet name="Comparativo" sheetId="10" state="visible" r:id="rId10"/>
    <sheet name="PontoViragem" sheetId="11" state="visible" r:id="rId11"/>
    <sheet name="BreakEven" sheetId="12" state="visible" r:id="rId12"/>
    <sheet name="Espaco" sheetId="13" state="visible" r:id="rId13"/>
    <sheet name="Validacao" sheetId="14" state="visible" r:id="rId14"/>
    <sheet name="RiscoLaboral" sheetId="15" state="visible" r:id="rId15"/>
    <sheet name="Tesouraria" sheetId="16" state="visible" r:id="rId16"/>
    <sheet name="Alertas" sheetId="17" state="visible" r:id="rId17"/>
    <sheet name="Conjuge" sheetId="18" state="visible" r:id="rId18"/>
  </sheets>
  <definedNames/>
  <calcPr calcId="124519" fullCalcOnLoad="1"/>
</workbook>
</file>

<file path=xl/styles.xml><?xml version="1.0" encoding="utf-8"?>
<styleSheet xmlns="http://schemas.openxmlformats.org/spreadsheetml/2006/main">
  <numFmts count="7">
    <numFmt numFmtId="164" formatCode="#,##0.00 &quot;€&quot;;(#,##0.00 &quot;€&quot;);&quot;-&quot;"/>
    <numFmt numFmtId="165" formatCode="#,##0;(#,##0);&quot;-&quot;"/>
    <numFmt numFmtId="166" formatCode="0.0%;(0.0%);&quot;-&quot;"/>
    <numFmt numFmtId="167" formatCode="0.00%;(0.00%);&quot;-&quot;"/>
    <numFmt numFmtId="168" formatCode="#,##0 &quot;€&quot;;(#,##0 &quot;€&quot;);&quot;-&quot;"/>
    <numFmt numFmtId="169" formatCode="#,##0.0"/>
    <numFmt numFmtId="170" formatCode="0.000000"/>
  </numFmts>
  <fonts count="10">
    <font>
      <name val="Calibri"/>
      <family val="2"/>
      <color theme="1"/>
      <sz val="11"/>
      <scheme val="minor"/>
    </font>
    <font>
      <name val="Arial"/>
      <b val="1"/>
      <color rgb="001F3864"/>
      <sz val="14"/>
    </font>
    <font>
      <name val="Arial"/>
      <i val="1"/>
      <color rgb="00595959"/>
      <sz val="9"/>
    </font>
    <font>
      <name val="Arial"/>
      <b val="1"/>
      <color rgb="00FFFFFF"/>
      <sz val="10"/>
    </font>
    <font>
      <name val="Arial"/>
      <b val="1"/>
      <color rgb="001F3864"/>
      <sz val="10"/>
    </font>
    <font>
      <name val="Arial"/>
      <sz val="10"/>
    </font>
    <font>
      <name val="Arial"/>
      <i val="1"/>
      <color rgb="00808080"/>
      <sz val="8"/>
    </font>
    <font>
      <name val="Arial"/>
      <color rgb="000000FF"/>
      <sz val="10"/>
    </font>
    <font>
      <name val="Arial"/>
      <b val="1"/>
      <sz val="10"/>
    </font>
    <font>
      <name val="Arial"/>
      <color rgb="00008000"/>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F00"/>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3">
    <xf numFmtId="0" fontId="0" fillId="0" borderId="0" pivotButton="0" quotePrefix="0" xfId="0"/>
    <xf numFmtId="0" fontId="1" fillId="0" borderId="0" pivotButton="0" quotePrefix="0" xfId="0"/>
    <xf numFmtId="0" fontId="4" fillId="3" borderId="0" pivotButton="0" quotePrefix="0" xfId="0"/>
    <xf numFmtId="0" fontId="5" fillId="0" borderId="0" applyAlignment="1" pivotButton="0" quotePrefix="0" xfId="0">
      <alignment vertical="top" wrapText="1"/>
    </xf>
    <xf numFmtId="0" fontId="5" fillId="5"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0" pivotButton="0" quotePrefix="0" xfId="0"/>
    <xf numFmtId="0" fontId="6" fillId="0" borderId="0" pivotButton="0" quotePrefix="0" xfId="0"/>
    <xf numFmtId="164" fontId="7" fillId="4" borderId="1" applyProtection="1" pivotButton="0" quotePrefix="0" xfId="0">
      <protection locked="0" hidden="0"/>
    </xf>
    <xf numFmtId="0" fontId="6" fillId="5" borderId="0" pivotButton="0" quotePrefix="0" xfId="0"/>
    <xf numFmtId="165" fontId="6" fillId="0" borderId="0" pivotButton="0" quotePrefix="0" xfId="0"/>
    <xf numFmtId="166" fontId="7" fillId="4" borderId="1" applyProtection="1" pivotButton="0" quotePrefix="0" xfId="0">
      <protection locked="0" hidden="0"/>
    </xf>
    <xf numFmtId="167" fontId="7" fillId="4" borderId="1" applyProtection="1" pivotButton="0" quotePrefix="0" xfId="0">
      <protection locked="0" hidden="0"/>
    </xf>
    <xf numFmtId="165" fontId="7" fillId="4" borderId="1" applyProtection="1" pivotButton="0" quotePrefix="0" xfId="0">
      <protection locked="0" hidden="0"/>
    </xf>
    <xf numFmtId="168" fontId="7" fillId="4" borderId="1" applyProtection="1" pivotButton="0" quotePrefix="0" xfId="0">
      <protection locked="0" hidden="0"/>
    </xf>
    <xf numFmtId="0" fontId="6" fillId="0" borderId="0" applyAlignment="1" pivotButton="0" quotePrefix="0" xfId="0">
      <alignment vertical="top" wrapText="1"/>
    </xf>
    <xf numFmtId="167" fontId="5" fillId="0" borderId="1" pivotButton="0" quotePrefix="0" xfId="0"/>
    <xf numFmtId="0" fontId="7" fillId="4" borderId="1" applyProtection="1" pivotButton="0" quotePrefix="0" xfId="0">
      <protection locked="0" hidden="0"/>
    </xf>
    <xf numFmtId="0" fontId="2" fillId="0" borderId="0" applyAlignment="1" pivotButton="0" quotePrefix="0" xfId="0">
      <alignment vertical="top" wrapText="1"/>
    </xf>
    <xf numFmtId="169" fontId="5" fillId="0" borderId="1" pivotButton="0" quotePrefix="0" xfId="0"/>
    <xf numFmtId="0" fontId="8" fillId="0" borderId="0" pivotButton="0" quotePrefix="0" xfId="0"/>
    <xf numFmtId="165" fontId="8" fillId="6" borderId="1" pivotButton="0" quotePrefix="0" xfId="0"/>
    <xf numFmtId="165" fontId="5" fillId="0" borderId="1" pivotButton="0" quotePrefix="0" xfId="0"/>
    <xf numFmtId="166" fontId="8" fillId="6" borderId="1" pivotButton="0" quotePrefix="0" xfId="0"/>
    <xf numFmtId="0" fontId="8" fillId="6" borderId="1" pivotButton="0" quotePrefix="0" xfId="0"/>
    <xf numFmtId="168" fontId="8" fillId="6" borderId="1" pivotButton="0" quotePrefix="0" xfId="0"/>
    <xf numFmtId="168" fontId="5" fillId="0" borderId="1" pivotButton="0" quotePrefix="0" xfId="0"/>
    <xf numFmtId="164" fontId="5" fillId="0" borderId="1" pivotButton="0" quotePrefix="0" xfId="0"/>
    <xf numFmtId="0" fontId="6" fillId="0" borderId="1" applyAlignment="1" pivotButton="0" quotePrefix="0" xfId="0">
      <alignment horizontal="center"/>
    </xf>
    <xf numFmtId="0" fontId="6" fillId="5" borderId="0" applyAlignment="1" pivotButton="0" quotePrefix="0" xfId="0">
      <alignment vertical="top" wrapText="1"/>
    </xf>
    <xf numFmtId="0" fontId="6" fillId="5" borderId="1" applyAlignment="1" pivotButton="0" quotePrefix="0" xfId="0">
      <alignment horizontal="center"/>
    </xf>
    <xf numFmtId="0" fontId="4" fillId="0" borderId="0" pivotButton="0" quotePrefix="0" xfId="0"/>
    <xf numFmtId="168" fontId="6" fillId="0" borderId="0" pivotButton="0" quotePrefix="0" xfId="0"/>
    <xf numFmtId="168" fontId="9" fillId="0" borderId="1" pivotButton="0" quotePrefix="0" xfId="0"/>
    <xf numFmtId="166" fontId="9" fillId="0" borderId="1" pivotButton="0" quotePrefix="0" xfId="0"/>
    <xf numFmtId="166" fontId="5" fillId="0" borderId="1" pivotButton="0" quotePrefix="0" xfId="0"/>
    <xf numFmtId="165" fontId="7" fillId="0" borderId="1" pivotButton="0" quotePrefix="0" xfId="0"/>
    <xf numFmtId="0" fontId="0" fillId="0" borderId="4" pivotButton="0" quotePrefix="0" xfId="0"/>
    <xf numFmtId="0" fontId="0" fillId="0" borderId="5" pivotButton="0" quotePrefix="0" xfId="0"/>
    <xf numFmtId="168" fontId="9" fillId="0" borderId="0" pivotButton="0" quotePrefix="0" xfId="0"/>
    <xf numFmtId="165" fontId="5" fillId="0" borderId="0" pivotButton="0" quotePrefix="0" xfId="0"/>
    <xf numFmtId="168" fontId="5" fillId="0" borderId="0" pivotButton="0" quotePrefix="0" xfId="0"/>
    <xf numFmtId="166" fontId="7" fillId="0" borderId="1" pivotButton="0" quotePrefix="0" xfId="0"/>
    <xf numFmtId="168" fontId="8" fillId="0" borderId="1" pivotButton="0" quotePrefix="0" xfId="0"/>
    <xf numFmtId="168" fontId="6" fillId="0" borderId="1" pivotButton="0" quotePrefix="0" xfId="0"/>
    <xf numFmtId="164" fontId="9" fillId="0" borderId="1" pivotButton="0" quotePrefix="0" xfId="0"/>
    <xf numFmtId="168" fontId="7" fillId="0" borderId="1" pivotButton="0" quotePrefix="0" xfId="0"/>
    <xf numFmtId="169" fontId="8" fillId="6" borderId="1" pivotButton="0" quotePrefix="0" xfId="0"/>
    <xf numFmtId="164" fontId="7" fillId="0" borderId="1" pivotButton="0" quotePrefix="0" xfId="0"/>
    <xf numFmtId="0" fontId="8" fillId="0" borderId="1" applyAlignment="1" pivotButton="0" quotePrefix="0" xfId="0">
      <alignment horizontal="center"/>
    </xf>
    <xf numFmtId="0" fontId="0" fillId="4" borderId="1" applyProtection="1" pivotButton="0" quotePrefix="0" xfId="0">
      <protection locked="0" hidden="0"/>
    </xf>
    <xf numFmtId="165" fontId="9" fillId="0" borderId="1" pivotButton="0" quotePrefix="0" xfId="0"/>
    <xf numFmtId="170" fontId="5" fillId="0" borderId="1" pivotButton="0" quotePrefix="0" xfId="0"/>
    <xf numFmtId="167" fontId="9" fillId="0" borderId="1" pivotButton="0" quotePrefix="0" xfId="0"/>
    <xf numFmtId="167" fontId="7" fillId="0" borderId="1" pivotButton="0" quotePrefix="0" xfId="0"/>
    <xf numFmtId="4" fontId="9" fillId="0" borderId="1" pivotButton="0" quotePrefix="0" xfId="0"/>
    <xf numFmtId="4" fontId="7" fillId="0" borderId="1" pivotButton="0" quotePrefix="0" xfId="0"/>
    <xf numFmtId="0" fontId="8" fillId="5" borderId="1" pivotButton="0" quotePrefix="0" xfId="0"/>
    <xf numFmtId="165" fontId="8" fillId="0" borderId="1" pivotButton="0" quotePrefix="0" xfId="0"/>
    <xf numFmtId="168" fontId="8" fillId="5" borderId="1" pivotButton="0" quotePrefix="0" xfId="0"/>
    <xf numFmtId="166" fontId="7"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Líquido anual disponível para a sócia, por via — cenário Base</a:t>
            </a:r>
          </a:p>
        </rich>
      </tx>
    </title>
    <plotArea>
      <barChart>
        <barDir val="col"/>
        <grouping val="clustered"/>
        <ser>
          <idx val="0"/>
          <order val="0"/>
          <spPr>
            <a:ln>
              <a:prstDash val="solid"/>
            </a:ln>
          </spPr>
          <cat>
            <numRef>
              <f>'Comparativo'!$C$22:$F$22</f>
            </numRef>
          </cat>
          <val>
            <numRef>
              <f>'Comparativo'!$C$32:$F$32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euros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Ponto de viragem — carga fiscal e contributiva por nível de custos reais</a:t>
            </a:r>
          </a:p>
        </rich>
      </tx>
    </title>
    <plotArea>
      <lineChart>
        <grouping val="standard"/>
        <ser>
          <idx val="0"/>
          <order val="0"/>
          <tx>
            <strRef>
              <f>'PontoViragem'!F9</f>
            </strRef>
          </tx>
          <spPr>
            <a:ln>
              <a:prstDash val="solid"/>
            </a:ln>
          </spPr>
          <marker>
            <symbol val="none"/>
            <spPr>
              <a:ln>
                <a:prstDash val="solid"/>
              </a:ln>
            </spPr>
          </marker>
          <cat>
            <numRef>
              <f>'PontoViragem'!$A$10:$A$24</f>
            </numRef>
          </cat>
          <val>
            <numRef>
              <f>'PontoViragem'!$F$10:$F$24</f>
            </numRef>
          </val>
        </ser>
        <ser>
          <idx val="1"/>
          <order val="1"/>
          <tx>
            <strRef>
              <f>'PontoViragem'!J9</f>
            </strRef>
          </tx>
          <spPr>
            <a:ln>
              <a:prstDash val="solid"/>
            </a:ln>
          </spPr>
          <marker>
            <symbol val="none"/>
            <spPr>
              <a:ln>
                <a:prstDash val="solid"/>
              </a:ln>
            </spPr>
          </marker>
          <cat>
            <numRef>
              <f>'PontoViragem'!$A$10:$A$24</f>
            </numRef>
          </cat>
          <val>
            <numRef>
              <f>'PontoViragem'!$J$10:$J$24</f>
            </numRef>
          </val>
        </ser>
        <axId val="10"/>
        <axId val="100"/>
      </lineChart>
      <catAx>
        <axId val="10"/>
        <scaling>
          <orientation val="minMax"/>
        </scaling>
        <axPos val="l"/>
        <title>
          <tx>
            <rich>
              <a:bodyPr/>
              <a:p>
                <a:pPr>
                  <a:defRPr/>
                </a:pPr>
                <a:r>
                  <a:t>custos reais em % do rendimento bruto</a:t>
                </a:r>
              </a:p>
            </rich>
          </tx>
        </title>
        <majorTickMark val="none"/>
        <minorTickMark val="none"/>
        <crossAx val="100"/>
        <lblOffset val="100"/>
      </catAx>
      <valAx>
        <axId val="100"/>
        <scaling>
          <orientation val="minMax"/>
        </scaling>
        <axPos val="l"/>
        <majorGridlines/>
        <title>
          <tx>
            <rich>
              <a:bodyPr/>
              <a:p>
                <a:pPr>
                  <a:defRPr/>
                </a:pPr>
                <a:r>
                  <a:t>euros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Break-even anual por peso dos colaboradores na receita</a:t>
            </a:r>
          </a:p>
        </rich>
      </tx>
    </title>
    <plotArea>
      <lineChart>
        <grouping val="standard"/>
        <ser>
          <idx val="0"/>
          <order val="0"/>
          <tx>
            <strRef>
              <f>'BreakEven'!C48</f>
            </strRef>
          </tx>
          <spPr>
            <a:ln>
              <a:prstDash val="solid"/>
            </a:ln>
          </spPr>
          <marker>
            <symbol val="none"/>
            <spPr>
              <a:ln>
                <a:prstDash val="solid"/>
              </a:ln>
            </spPr>
          </marker>
          <cat>
            <numRef>
              <f>'BreakEven'!$A$49:$A$57</f>
            </numRef>
          </cat>
          <val>
            <numRef>
              <f>'BreakEven'!$C$49:$C$57</f>
            </numRef>
          </val>
        </ser>
        <axId val="10"/>
        <axId val="100"/>
      </lineChart>
      <catAx>
        <axId val="10"/>
        <scaling>
          <orientation val="minMax"/>
        </scaling>
        <axPos val="l"/>
        <title>
          <tx>
            <rich>
              <a:bodyPr/>
              <a:p>
                <a:pPr>
                  <a:defRPr/>
                </a:pPr>
                <a:r>
                  <a:t>peso dos colaboradores</a:t>
                </a:r>
              </a:p>
            </rich>
          </tx>
        </title>
        <majorTickMark val="none"/>
        <minorTickMark val="none"/>
        <crossAx val="100"/>
        <lblOffset val="100"/>
      </catAx>
      <valAx>
        <axId val="100"/>
        <scaling>
          <orientation val="minMax"/>
        </scaling>
        <axPos val="l"/>
        <majorGridlines/>
        <title>
          <tx>
            <rich>
              <a:bodyPr/>
              <a:p>
                <a:pPr>
                  <a:defRPr/>
                </a:pPr>
                <a:r>
                  <a:t>euros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Resultado líquido por nível de procura — 2 vs. 3 gabinetes</a:t>
            </a:r>
          </a:p>
        </rich>
      </tx>
    </title>
    <plotArea>
      <lineChart>
        <grouping val="standard"/>
        <ser>
          <idx val="0"/>
          <order val="0"/>
          <tx>
            <strRef>
              <f>'Espaco'!B40</f>
            </strRef>
          </tx>
          <spPr>
            <a:ln>
              <a:prstDash val="solid"/>
            </a:ln>
          </spPr>
          <marker>
            <symbol val="none"/>
            <spPr>
              <a:ln>
                <a:prstDash val="solid"/>
              </a:ln>
            </spPr>
          </marker>
          <cat>
            <numRef>
              <f>'Espaco'!$A$41:$A$56</f>
            </numRef>
          </cat>
          <val>
            <numRef>
              <f>'Espaco'!$B$41:$B$56</f>
            </numRef>
          </val>
        </ser>
        <ser>
          <idx val="1"/>
          <order val="1"/>
          <tx>
            <strRef>
              <f>'Espaco'!C40</f>
            </strRef>
          </tx>
          <spPr>
            <a:ln>
              <a:prstDash val="solid"/>
            </a:ln>
          </spPr>
          <marker>
            <symbol val="none"/>
            <spPr>
              <a:ln>
                <a:prstDash val="solid"/>
              </a:ln>
            </spPr>
          </marker>
          <cat>
            <numRef>
              <f>'Espaco'!$A$41:$A$56</f>
            </numRef>
          </cat>
          <val>
            <numRef>
              <f>'Espaco'!$C$41:$C$56</f>
            </numRef>
          </val>
        </ser>
        <axId val="10"/>
        <axId val="100"/>
      </lineChart>
      <catAx>
        <axId val="10"/>
        <scaling>
          <orientation val="minMax"/>
        </scaling>
        <axPos val="l"/>
        <title>
          <tx>
            <rich>
              <a:bodyPr/>
              <a:p>
                <a:pPr>
                  <a:defRPr/>
                </a:pPr>
                <a:r>
                  <a:t>procura anual (consultas)</a:t>
                </a:r>
              </a:p>
            </rich>
          </tx>
        </title>
        <majorTickMark val="none"/>
        <minorTickMark val="none"/>
        <crossAx val="100"/>
        <lblOffset val="100"/>
      </catAx>
      <valAx>
        <axId val="100"/>
        <scaling>
          <orientation val="minMax"/>
        </scaling>
        <axPos val="l"/>
        <majorGridlines/>
        <title>
          <tx>
            <rich>
              <a:bodyPr/>
              <a:p>
                <a:pPr>
                  <a:defRPr/>
                </a:pPr>
                <a:r>
                  <a:t>euros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Saldo de tesouraria acumulado — ano 1</a:t>
            </a:r>
          </a:p>
        </rich>
      </tx>
    </title>
    <plotArea>
      <lineChart>
        <grouping val="standard"/>
        <ser>
          <idx val="0"/>
          <order val="0"/>
          <tx>
            <v>Saldo acumulado</v>
          </tx>
          <spPr>
            <a:ln>
              <a:prstDash val="solid"/>
            </a:ln>
          </spPr>
          <marker>
            <symbol val="none"/>
            <spPr>
              <a:ln>
                <a:prstDash val="solid"/>
              </a:ln>
            </spPr>
          </marker>
          <val>
            <numRef>
              <f>'Tesouraria'!$C$24:$N$24</f>
            </numRef>
          </val>
        </ser>
        <axId val="10"/>
        <axId val="100"/>
      </lineChart>
      <catAx>
        <axId val="10"/>
        <scaling>
          <orientation val="minMax"/>
        </scaling>
        <axPos val="l"/>
        <title>
          <tx>
            <rich>
              <a:bodyPr/>
              <a:p>
                <a:pPr>
                  <a:defRPr/>
                </a:pPr>
                <a:r>
                  <a:t>mês</a:t>
                </a:r>
              </a:p>
            </rich>
          </tx>
        </title>
        <majorTickMark val="none"/>
        <minorTickMark val="none"/>
        <crossAx val="100"/>
        <lblOffset val="100"/>
      </catAx>
      <valAx>
        <axId val="100"/>
        <scaling>
          <orientation val="minMax"/>
        </scaling>
        <axPos val="l"/>
        <majorGridlines/>
        <title>
          <tx>
            <rich>
              <a:bodyPr/>
              <a:p>
                <a:pPr>
                  <a:defRPr/>
                </a:pPr>
                <a:r>
                  <a:t>euros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3</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3</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17</col>
      <colOff>0</colOff>
      <row>3</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_rels/sheet12.xml.rels><Relationships xmlns="http://schemas.openxmlformats.org/package/2006/relationships"><Relationship Type="http://schemas.openxmlformats.org/officeDocument/2006/relationships/drawing" Target="/xl/drawings/drawing3.xml" Id="rId1" /></Relationships>
</file>

<file path=xl/worksheets/_rels/sheet13.xml.rels><Relationships xmlns="http://schemas.openxmlformats.org/package/2006/relationships"><Relationship Type="http://schemas.openxmlformats.org/officeDocument/2006/relationships/drawing" Target="/xl/drawings/drawing4.xml" Id="rId1" /></Relationships>
</file>

<file path=xl/worksheets/_rels/sheet1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B47"/>
  <sheetViews>
    <sheetView showGridLines="0" workbookViewId="0">
      <selection activeCell="A1" sqref="A1"/>
    </sheetView>
  </sheetViews>
  <sheetFormatPr baseColWidth="8" defaultRowHeight="15"/>
  <cols>
    <col width="4" customWidth="1" min="1" max="1"/>
    <col width="110" customWidth="1" min="2" max="2"/>
  </cols>
  <sheetData>
    <row r="1">
      <c r="A1" s="1" t="inlineStr">
        <is>
          <t>M1 — Modelo comparativo das quatro vias</t>
        </is>
      </c>
    </row>
    <row r="4">
      <c r="B4" s="2" t="inlineStr">
        <is>
          <t>Identificação</t>
        </is>
      </c>
    </row>
    <row r="5" ht="15" customHeight="1">
      <c r="B5" s="3" t="inlineStr">
        <is>
          <t>Projeto: Dra. Júlia Best (NIF 272180610) — cliente faturável: Gerir Saúde.</t>
        </is>
      </c>
    </row>
    <row r="6" ht="15" customHeight="1">
      <c r="B6" s="3" t="inlineStr">
        <is>
          <t>Origem: ata de 18/08/2026 (MOD COO 007/1). Brief de entregáveis de 22/08/2026.</t>
        </is>
      </c>
    </row>
    <row r="7" ht="28" customHeight="1">
      <c r="B7" s="3" t="inlineStr">
        <is>
          <t>Estatuto: ENTREGÁVEL INTERNO. Não sai para a cliente — a entrega do ficheiro está expressamente fora de âmbito (secção 5 do brief). O que sai são as tabelas do capítulo 3 e do anexo E2, sem fórmulas visíveis.</t>
        </is>
      </c>
    </row>
    <row r="8" ht="15" customHeight="1">
      <c r="B8" s="3" t="inlineStr">
        <is>
          <t>Propriedade: ativo reutilizável VCLevel.</t>
        </is>
      </c>
    </row>
    <row r="9">
      <c r="B9" s="2" t="inlineStr">
        <is>
          <t>Estado atual — ler antes de usar</t>
        </is>
      </c>
    </row>
    <row r="10" ht="28" customHeight="1">
      <c r="B10" s="4" t="inlineStr">
        <is>
          <t>A cliente não forneceu nenhum dos oito inputs da secção 4 do brief. Todos os valores da folha Inputs são placeholders para testar o motor de cálculo.</t>
        </is>
      </c>
    </row>
    <row r="11" ht="41" customHeight="1">
      <c r="B11" s="4" t="inlineStr">
        <is>
          <t>Nenhum número deste ficheiro pode ser citado no relatório, no deck ou perante a cliente antes de (i) os inputs reais entrarem, (ii) a folha Parâmetros ser confirmada para 2026 pela equipa de Fiscalidade, e (iii) a folha Validação estar assinada.</t>
        </is>
      </c>
    </row>
    <row r="12">
      <c r="B12" s="2" t="inlineStr">
        <is>
          <t>Como está organizado</t>
        </is>
      </c>
    </row>
    <row r="13" ht="28" customHeight="1">
      <c r="B13" s="3" t="inlineStr">
        <is>
          <t>Parâmetros — todas as taxas, escalões e limiares, cada um com a norma e o estado de validação. Nenhuma taxa é escrita dentro de uma fórmula noutra folha.</t>
        </is>
      </c>
    </row>
    <row r="14" ht="28" customHeight="1">
      <c r="B14" s="3" t="inlineStr">
        <is>
          <t>Operacao — camada operacional: gabinetes, dias, duração da consulta, preço e utilização. É daqui que sai a faturação quando FONTE_FAT = 2. A linha de utilização diz se a projeção cabe fisicamente no espaço.</t>
        </is>
      </c>
    </row>
    <row r="15" ht="41" customHeight="1">
      <c r="B15" s="3" t="inlineStr">
        <is>
          <t>Inputs — folha única de parâmetros do caso, em três cenários de faturação. Contém a alavanca MOD_COLAB, que alterna entre os dois modelos de colaboração da ata (1 = prestação de serviços, 2 = cedência de sala) e reconfigura toda a estrutura de receita e custo.</t>
        </is>
      </c>
    </row>
    <row r="16" ht="41" customHeight="1">
      <c r="B16" s="3" t="inlineStr">
        <is>
          <t>As linhas derivadas no fim da folha Inputs não se preenchem. Entre elas está o teste de rendimentos do art. 6.º n.º 4 al. b) ii) CIRC, e a receita de cedência que seria precisa para o falhar — que é a via para afastar a transparência sem ceder capital.</t>
        </is>
      </c>
    </row>
    <row r="17" ht="28" customHeight="1">
      <c r="B17" s="3" t="inlineStr">
        <is>
          <t>V1 a V4 — uma folha por via, com a mesma estrutura: apuramento, Segurança Social, IRS do agregado, resultado.</t>
        </is>
      </c>
    </row>
    <row r="18" ht="15" customHeight="1">
      <c r="B18" s="3" t="inlineStr">
        <is>
          <t>IVA — quantificação do IVA perdido no investimento e teste das duas atenuantes.</t>
        </is>
      </c>
    </row>
    <row r="19" ht="28" customHeight="1">
      <c r="B19" s="3" t="inlineStr">
        <is>
          <t>PontoViragem — nível de custos reais a partir do qual o simplificado deixa de compensar, com o gráfico correspondente.</t>
        </is>
      </c>
    </row>
    <row r="20" ht="15" customHeight="1">
      <c r="B20" s="3" t="inlineStr">
        <is>
          <t>Comparativo — output que alimenta o capítulo 3 e o anexo E2, com o gráfico do líquido por via.</t>
        </is>
      </c>
    </row>
    <row r="21" ht="28" customHeight="1">
      <c r="B21" s="3" t="inlineStr">
        <is>
          <t>BreakEven — break-even operacional e rendimento-alvo da fundadora. Não confundir com o PontoViragem, que é o break-even fiscal: são três conceitos distintos e a folha explica-os.</t>
        </is>
      </c>
    </row>
    <row r="22" ht="15" customHeight="1">
      <c r="B22" s="3" t="inlineStr">
        <is>
          <t>Espaco — comparação 2 versus 3 gabinetes a procura constante, com investimento e payback.</t>
        </is>
      </c>
    </row>
    <row r="23" ht="15" customHeight="1">
      <c r="B23" s="3" t="inlineStr">
        <is>
          <t>Validação — recálculo independente e espaço para assinatura.</t>
        </is>
      </c>
    </row>
    <row r="24" ht="28" customHeight="1">
      <c r="B24" s="3" t="inlineStr">
        <is>
          <t>RiscoLaboral — passivo contingente da requalificação dos colaboradores, e o mapa dos indícios do art. 12.º n.º 1 do Código do Trabalho. Dois deles verificam-se por natureza numa clínica.</t>
        </is>
      </c>
    </row>
    <row r="25" ht="28" customHeight="1">
      <c r="B25" s="3" t="inlineStr">
        <is>
          <t>Conjuge — custo de complexidade da entrada do cônjuge: ganhos de um lado, custos do outro, e o que não é quantificável.</t>
        </is>
      </c>
    </row>
    <row r="26" ht="28" customHeight="1">
      <c r="B26" s="3" t="inlineStr">
        <is>
          <t>Tesouraria — ano 1 mês a mês, fundo de maneio e vista a três anos. Responde à pergunta que vem antes de todas as outras: quanto dinheiro é preciso ter na mão antes de abrir.</t>
        </is>
      </c>
    </row>
    <row r="27" ht="28" customHeight="1">
      <c r="B27" s="3" t="inlineStr">
        <is>
          <t>Alertas — verificação de plausibilidade empresarial e semáforo global. Enquanto houver um alerta bloqueante ativo, nenhum número sai do ficheiro.</t>
        </is>
      </c>
    </row>
    <row r="28">
      <c r="B28" s="2" t="inlineStr">
        <is>
          <t>Rentabilidade e solvência são perguntas diferentes</t>
        </is>
      </c>
    </row>
    <row r="29" ht="41" customHeight="1">
      <c r="B29" s="3" t="inlineStr">
        <is>
          <t>As folhas das quatro vias, o Comparativo e o BreakEven dizem se o negócio é rentável. A folha Tesouraria diz se sobrevive ao primeiro ano. Um negócio rentável fica sem dinheiro quando o investimento se paga à cabeça, a receita sobe devagar e há pagamentos que chegam em bloco.</t>
        </is>
      </c>
    </row>
    <row r="30" ht="41" customHeight="1">
      <c r="B30" s="3" t="inlineStr">
        <is>
          <t>Para quem abre pela primeira vez, a segunda pergunta é a que morde primeiro. O número a dar à cliente antes de qualquer conversa sobre ENI ou sociedade é o total de dinheiro necessário antes de abrir, na folha Tesouraria.</t>
        </is>
      </c>
    </row>
    <row r="31">
      <c r="B31" s="2" t="inlineStr">
        <is>
          <t>Três break-even distintos, que nunca se misturam</t>
        </is>
      </c>
    </row>
    <row r="32" ht="28" customHeight="1">
      <c r="B32" s="3" t="inlineStr">
        <is>
          <t>Break-even FISCAL (folha PontoViragem): a partir de que nível de custos reais uma estrutura fiscal passa a ser melhor do que outra.</t>
        </is>
      </c>
    </row>
    <row r="33" ht="15" customHeight="1">
      <c r="B33" s="3" t="inlineStr">
        <is>
          <t>Break-even OPERACIONAL (folha BreakEven): a partir de que faturação a clínica cobre os custos.</t>
        </is>
      </c>
    </row>
    <row r="34" ht="28" customHeight="1">
      <c r="B34" s="3" t="inlineStr">
        <is>
          <t>RENDIMENTO-ALVO (folha BreakEven): que faturação é precisa para a fundadora receber o que quer receber. Nunca usar a mesma palavra para os três numa frase dita à cliente.</t>
        </is>
      </c>
    </row>
    <row r="35">
      <c r="B35" s="2" t="inlineStr">
        <is>
          <t>Convenções</t>
        </is>
      </c>
    </row>
    <row r="36" ht="28" customHeight="1">
      <c r="B36" s="3" t="inlineStr">
        <is>
          <t>Azul sobre amarelo = célula de preenchimento. Verde = ligação a outra folha. Preto = fórmula. Fundo laranja na folha Parâmetros = parâmetro por confirmar.</t>
        </is>
      </c>
    </row>
    <row r="37" ht="15" customHeight="1">
      <c r="B37" s="3" t="inlineStr">
        <is>
          <t>Percentagens guardadas como fração. Valores anuais, em euros, sem IVA salvo indicação.</t>
        </is>
      </c>
    </row>
    <row r="38">
      <c r="B38" s="2" t="inlineStr">
        <is>
          <t>Três decisões de modelação que são discutíveis e estão assumidas</t>
        </is>
      </c>
    </row>
    <row r="39" ht="41" customHeight="1">
      <c r="B39" s="3" t="inlineStr">
        <is>
          <t>1. A comparação entre vias usa o IRS diferencial (coleta do agregado com a atividade menos coleta sem a atividade), e não o IRS total. É o que torna as quatro vias comparáveis quando o cônjuge tem rendimento próprio.</t>
        </is>
      </c>
    </row>
    <row r="40" ht="28" customHeight="1">
      <c r="B40" s="3" t="inlineStr">
        <is>
          <t>2. O investimento inicial está fora da comparação anual e isolado numa linha de memória. Misturá-lo com o resultado corrente faria a via 1 parecer melhor do que é no ano 1.</t>
        </is>
      </c>
    </row>
    <row r="41" ht="28" customHeight="1">
      <c r="B41" s="3" t="inlineStr">
        <is>
          <t>3. Nas vias societárias, o valor retido na sociedade é mostrado separado do líquido da sócia. Somar os dois responderia a uma pergunta que a cliente não fez.</t>
        </is>
      </c>
    </row>
    <row r="42" ht="28" customHeight="1">
      <c r="B42" s="3" t="inlineStr">
        <is>
          <t>4. O modelo de colaboração é uma escolha única para todos os colaboradores. A ata admite modelos distintos por profissional; uma combinação exige correr o modelo com a faturação repartida. Registado em R1-30.</t>
        </is>
      </c>
    </row>
    <row r="43">
      <c r="B43" s="2" t="inlineStr">
        <is>
          <t>Para quem é este trabalho</t>
        </is>
      </c>
    </row>
    <row r="44" ht="41" customHeight="1">
      <c r="B44" s="3" t="inlineStr">
        <is>
          <t>A cliente final tem zero experiência empresarial e está a montar a primeira estrutura da vida dela, com arrendamento, obras e integração de pessoas. As consequências de a matemática não funcionar não são um relatório desatualizado — são dívida pessoal.</t>
        </is>
      </c>
    </row>
    <row r="45" ht="41" customHeight="1">
      <c r="B45" s="3" t="inlineStr">
        <is>
          <t>Consequência prática para quem usar este modelo: toda a conclusão tem de acabar em unidades que a cliente controla — doentes por dia, euros por mês — e o cenário de baixa tem de ser apresentado em dinheiro, não só a recomendação.</t>
        </is>
      </c>
    </row>
    <row r="46">
      <c r="B46" s="2" t="inlineStr">
        <is>
          <t>Reprodução</t>
        </is>
      </c>
    </row>
    <row r="47" ht="28" customHeight="1">
      <c r="B47" s="3" t="inlineStr">
        <is>
          <t>Este ficheiro é gerado por build_m1.py. Alterações estruturais fazem-se no script e regenera-se; alterações de valores fazem-se nas células amarelas.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showGridLines="0"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62" customWidth="1" min="4" max="4"/>
    <col width="26" customWidth="1" min="5" max="5"/>
    <col width="10" customWidth="1" min="6" max="6"/>
  </cols>
  <sheetData>
    <row r="1">
      <c r="A1" s="1" t="inlineStr">
        <is>
          <t>M1 — Parâmetros fiscais e contributivos</t>
        </is>
      </c>
    </row>
    <row r="2">
      <c r="A2" s="5" t="inlineStr">
        <is>
          <t>Todos os parâmetros do modelo vivem aqui. Nenhuma folha de cálculo pode conter uma taxa escrita dentro de uma fórmula. Coluna E indica o estado de validação pela equipa de Fiscalidade.</t>
        </is>
      </c>
    </row>
    <row r="3"/>
    <row r="4" ht="28" customHeight="1">
      <c r="A4" s="6" t="inlineStr">
        <is>
          <t>Parâmetro</t>
        </is>
      </c>
      <c r="B4" s="6" t="inlineStr">
        <is>
          <t>Referência</t>
        </is>
      </c>
      <c r="C4" s="6" t="inlineStr">
        <is>
          <t>Valor</t>
        </is>
      </c>
      <c r="D4" s="6" t="inlineStr">
        <is>
          <t>Fonte normativa</t>
        </is>
      </c>
      <c r="E4" s="6" t="inlineStr">
        <is>
          <t>Estado de validação</t>
        </is>
      </c>
      <c r="F4" s="6" t="inlineStr">
        <is>
          <t>Por validar</t>
        </is>
      </c>
    </row>
    <row r="5">
      <c r="A5" s="2" t="inlineStr">
        <is>
          <t>Segurança Social</t>
        </is>
      </c>
      <c r="B5" s="7" t="n"/>
      <c r="C5" s="7" t="n"/>
      <c r="D5" s="7" t="n"/>
      <c r="E5" s="7" t="n"/>
    </row>
    <row r="6">
      <c r="A6" s="8" t="inlineStr">
        <is>
          <t>Indexante dos Apoios Sociais (mensal)</t>
        </is>
      </c>
      <c r="B6" s="9" t="inlineStr">
        <is>
          <t>IAS</t>
        </is>
      </c>
      <c r="C6" s="10" t="n">
        <v>522.5</v>
      </c>
      <c r="D6" s="9" t="inlineStr">
        <is>
          <t>Portaria de atualização anual do IAS</t>
        </is>
      </c>
      <c r="E6" s="11" t="inlineStr">
        <is>
          <t>A ATUALIZAR PARA 2026</t>
        </is>
      </c>
      <c r="F6" s="12" t="n">
        <v>1</v>
      </c>
    </row>
    <row r="7">
      <c r="A7" s="8" t="inlineStr">
        <is>
          <t>TI — % da prestação de serviços que forma o rendimento relevante</t>
        </is>
      </c>
      <c r="B7" s="9" t="inlineStr">
        <is>
          <t>SS_TI_PCT</t>
        </is>
      </c>
      <c r="C7" s="13" t="n">
        <v>0.7</v>
      </c>
      <c r="D7" s="9" t="inlineStr">
        <is>
          <t>Art. 162.º n.º 1 Cód. Contributivo</t>
        </is>
      </c>
      <c r="E7" s="9" t="inlineStr">
        <is>
          <t>Confirmar</t>
        </is>
      </c>
      <c r="F7" s="12" t="n">
        <v>0</v>
      </c>
    </row>
    <row r="8">
      <c r="A8" s="8" t="inlineStr">
        <is>
          <t>TI — taxa contributiva</t>
        </is>
      </c>
      <c r="B8" s="9" t="inlineStr">
        <is>
          <t>SS_TI_TAXA</t>
        </is>
      </c>
      <c r="C8" s="14" t="n">
        <v>0.214</v>
      </c>
      <c r="D8" s="9" t="inlineStr">
        <is>
          <t>Art. 168.º n.º 1 Cód. Contributivo</t>
        </is>
      </c>
      <c r="E8" s="9" t="inlineStr">
        <is>
          <t>Confirmar</t>
        </is>
      </c>
      <c r="F8" s="12" t="n">
        <v>0</v>
      </c>
    </row>
    <row r="9">
      <c r="A9" s="8" t="inlineStr">
        <is>
          <t>TI — teto da base de incidência mensal (múltiplo do IAS)</t>
        </is>
      </c>
      <c r="B9" s="9" t="inlineStr">
        <is>
          <t>SS_TI_TETO</t>
        </is>
      </c>
      <c r="C9" s="15" t="n">
        <v>12</v>
      </c>
      <c r="D9" s="9" t="inlineStr">
        <is>
          <t>Art. 163.º n.º 2 Cód. Contributivo</t>
        </is>
      </c>
      <c r="E9" s="9" t="inlineStr">
        <is>
          <t>Confirmar</t>
        </is>
      </c>
      <c r="F9" s="12" t="n">
        <v>0</v>
      </c>
    </row>
    <row r="10">
      <c r="A10" s="8" t="inlineStr">
        <is>
          <t>TI — contribuição mensal mínima</t>
        </is>
      </c>
      <c r="B10" s="9" t="inlineStr">
        <is>
          <t>SS_TI_MIN</t>
        </is>
      </c>
      <c r="C10" s="10" t="n">
        <v>20</v>
      </c>
      <c r="D10" s="9" t="inlineStr">
        <is>
          <t>Regime dos trabalhadores independentes</t>
        </is>
      </c>
      <c r="E10" s="9" t="inlineStr">
        <is>
          <t>Confirmar</t>
        </is>
      </c>
      <c r="F10" s="12" t="n">
        <v>0</v>
      </c>
    </row>
    <row r="11">
      <c r="A11" s="8" t="inlineStr">
        <is>
          <t>MOE/gerência — taxa a cargo da entidade</t>
        </is>
      </c>
      <c r="B11" s="9" t="inlineStr">
        <is>
          <t>SS_MOE_ENT</t>
        </is>
      </c>
      <c r="C11" s="14" t="n">
        <v>0.2375</v>
      </c>
      <c r="D11" s="9" t="inlineStr">
        <is>
          <t>Art. 63.º e 168.º Cód. Contributivo</t>
        </is>
      </c>
      <c r="E11" s="11" t="inlineStr">
        <is>
          <t>CONFIRMAR (ver R1-12)</t>
        </is>
      </c>
      <c r="F11" s="12" t="n">
        <v>1</v>
      </c>
    </row>
    <row r="12">
      <c r="A12" s="8" t="inlineStr">
        <is>
          <t>MOE/gerência — taxa a cargo do beneficiário</t>
        </is>
      </c>
      <c r="B12" s="9" t="inlineStr">
        <is>
          <t>SS_MOE_BEN</t>
        </is>
      </c>
      <c r="C12" s="14" t="n">
        <v>0.11</v>
      </c>
      <c r="D12" s="9" t="inlineStr">
        <is>
          <t>Art. 63.º e 168.º Cód. Contributivo</t>
        </is>
      </c>
      <c r="E12" s="11" t="inlineStr">
        <is>
          <t>CONFIRMAR (ver R1-12)</t>
        </is>
      </c>
      <c r="F12" s="12" t="n">
        <v>1</v>
      </c>
    </row>
    <row r="13">
      <c r="A13" s="8" t="inlineStr">
        <is>
          <t>MOE — base de incidência mínima (múltiplo do IAS)</t>
        </is>
      </c>
      <c r="B13" s="9" t="inlineStr">
        <is>
          <t>SS_MOE_MIN</t>
        </is>
      </c>
      <c r="C13" s="15" t="n">
        <v>1</v>
      </c>
      <c r="D13" s="9" t="inlineStr">
        <is>
          <t>Art. 166.º Cód. Contributivo</t>
        </is>
      </c>
      <c r="E13" s="9" t="inlineStr">
        <is>
          <t>Confirmar</t>
        </is>
      </c>
      <c r="F13" s="12" t="n">
        <v>0</v>
      </c>
    </row>
    <row r="14">
      <c r="A14" s="8" t="inlineStr">
        <is>
          <t>Trabalhador por conta de outrem — taxa a cargo da entidade empregadora</t>
        </is>
      </c>
      <c r="B14" s="9" t="inlineStr">
        <is>
          <t>TSU_ENT</t>
        </is>
      </c>
      <c r="C14" s="14" t="n">
        <v>0.2375</v>
      </c>
      <c r="D14" s="9" t="inlineStr">
        <is>
          <t>Art. 53.º Cód. Contributivo</t>
        </is>
      </c>
      <c r="E14" s="9" t="inlineStr">
        <is>
          <t>Confirmar</t>
        </is>
      </c>
      <c r="F14" s="12" t="n">
        <v>0</v>
      </c>
    </row>
    <row r="15">
      <c r="A15" s="8" t="inlineStr">
        <is>
          <t>Trabalhador por conta de outrem — taxa a cargo do trabalhador</t>
        </is>
      </c>
      <c r="B15" s="9" t="inlineStr">
        <is>
          <t>TSU_TRAB</t>
        </is>
      </c>
      <c r="C15" s="14" t="n">
        <v>0.11</v>
      </c>
      <c r="D15" s="9" t="inlineStr">
        <is>
          <t>Art. 53.º Cód. Contributivo</t>
        </is>
      </c>
      <c r="E15" s="9" t="inlineStr">
        <is>
          <t>Confirmar</t>
        </is>
      </c>
      <c r="F15" s="12" t="n">
        <v>0</v>
      </c>
    </row>
    <row r="16">
      <c r="A16" s="8" t="inlineStr">
        <is>
          <t>Prazo de prescrição das contribuições (anos)</t>
        </is>
      </c>
      <c r="B16" s="9" t="inlineStr">
        <is>
          <t>PRESCR</t>
        </is>
      </c>
      <c r="C16" s="15" t="n">
        <v>5</v>
      </c>
      <c r="D16" s="9" t="inlineStr">
        <is>
          <t>Art. 187.º Cód. Contributivo</t>
        </is>
      </c>
      <c r="E16" s="11" t="inlineStr">
        <is>
          <t>CONFIRMAR (ver R1-37)</t>
        </is>
      </c>
      <c r="F16" s="12" t="n">
        <v>1</v>
      </c>
    </row>
    <row r="17">
      <c r="A17" s="8" t="inlineStr">
        <is>
          <t>Taxa anual de juros de mora aplicada às contribuições em falta</t>
        </is>
      </c>
      <c r="B17" s="9" t="inlineStr">
        <is>
          <t>JUROS_MORA</t>
        </is>
      </c>
      <c r="C17" s="14" t="n">
        <v>0.05</v>
      </c>
      <c r="D17" s="9" t="inlineStr">
        <is>
          <t>Regime dos juros de mora de dívidas ao Estado</t>
        </is>
      </c>
      <c r="E17" s="11" t="inlineStr">
        <is>
          <t>CONFIRMAR taxa em vigor</t>
        </is>
      </c>
      <c r="F17" s="12" t="n">
        <v>1</v>
      </c>
    </row>
    <row r="18">
      <c r="A18" s="8" t="inlineStr">
        <is>
          <t>Coima estimada, em % das contribuições devidas pela entidade</t>
        </is>
      </c>
      <c r="B18" s="9" t="inlineStr">
        <is>
          <t>COIMA_PCT</t>
        </is>
      </c>
      <c r="C18" s="13" t="n">
        <v>0.5</v>
      </c>
      <c r="D18" s="9" t="inlineStr">
        <is>
          <t>Moldura das contraordenações do Cód. Contributivo</t>
        </is>
      </c>
      <c r="E18" s="9" t="inlineStr">
        <is>
          <t>ESTIMATIVA GROSSEIRA — ver R1-38</t>
        </is>
      </c>
      <c r="F18" s="12" t="n">
        <v>0</v>
      </c>
    </row>
    <row r="19">
      <c r="A19" s="2" t="inlineStr">
        <is>
          <t>Limiares operacionais de alerta</t>
        </is>
      </c>
      <c r="B19" s="7" t="n"/>
      <c r="C19" s="7" t="n"/>
      <c r="D19" s="7" t="n"/>
      <c r="E19" s="7" t="n"/>
    </row>
    <row r="20">
      <c r="A20" s="8" t="inlineStr">
        <is>
          <t>Utilização acima da qual a projeção é impossível</t>
        </is>
      </c>
      <c r="B20" s="9" t="inlineStr">
        <is>
          <t>UTIL_MAX</t>
        </is>
      </c>
      <c r="C20" s="13" t="n">
        <v>1</v>
      </c>
      <c r="D20" s="9" t="inlineStr">
        <is>
          <t>Definição do modelo</t>
        </is>
      </c>
      <c r="E20" s="9" t="inlineStr">
        <is>
          <t>Validado</t>
        </is>
      </c>
      <c r="F20" s="12" t="n">
        <v>0</v>
      </c>
    </row>
    <row r="21">
      <c r="A21" s="8" t="inlineStr">
        <is>
          <t>Utilização acima da qual a operação é muito exigente</t>
        </is>
      </c>
      <c r="B21" s="9" t="inlineStr">
        <is>
          <t>UTIL_ALTA</t>
        </is>
      </c>
      <c r="C21" s="13" t="n">
        <v>0.85</v>
      </c>
      <c r="D21" s="9" t="inlineStr">
        <is>
          <t>Convenção de trabalho VCLevel</t>
        </is>
      </c>
      <c r="E21" s="9" t="inlineStr">
        <is>
          <t>Decisão de equipa</t>
        </is>
      </c>
      <c r="F21" s="12" t="n">
        <v>0</v>
      </c>
    </row>
    <row r="22">
      <c r="A22" s="8" t="inlineStr">
        <is>
          <t>Utilização abaixo da qual o espaço está subaproveitado</t>
        </is>
      </c>
      <c r="B22" s="9" t="inlineStr">
        <is>
          <t>UTIL_BAIXA</t>
        </is>
      </c>
      <c r="C22" s="13" t="n">
        <v>0.3</v>
      </c>
      <c r="D22" s="9" t="inlineStr">
        <is>
          <t>Convenção de trabalho VCLevel</t>
        </is>
      </c>
      <c r="E22" s="9" t="inlineStr">
        <is>
          <t>Decisão de equipa</t>
        </is>
      </c>
      <c r="F22" s="12" t="n">
        <v>0</v>
      </c>
    </row>
    <row r="23">
      <c r="A23" s="2" t="inlineStr">
        <is>
          <t>IRS — categoria B e regras de determinação</t>
        </is>
      </c>
      <c r="B23" s="7" t="n"/>
      <c r="C23" s="7" t="n"/>
      <c r="D23" s="7" t="n"/>
      <c r="E23" s="7" t="n"/>
    </row>
    <row r="24">
      <c r="A24" s="8" t="inlineStr">
        <is>
          <t>Coeficiente do regime simplificado (atividades do art. 151.º)</t>
        </is>
      </c>
      <c r="B24" s="9" t="inlineStr">
        <is>
          <t>COEF</t>
        </is>
      </c>
      <c r="C24" s="13" t="n">
        <v>0.75</v>
      </c>
      <c r="D24" s="9" t="inlineStr">
        <is>
          <t>Art. 31.º n.º 1 al. b) CIRS — fisioterapeutas constam da tabela do art. 151.º</t>
        </is>
      </c>
      <c r="E24" s="9" t="inlineStr">
        <is>
          <t>Validado</t>
        </is>
      </c>
      <c r="F24" s="12" t="n">
        <v>0</v>
      </c>
    </row>
    <row r="25">
      <c r="A25" s="8" t="inlineStr">
        <is>
          <t>Limiar de justificação de despesas</t>
        </is>
      </c>
      <c r="B25" s="9" t="inlineStr">
        <is>
          <t>LIM_JUST</t>
        </is>
      </c>
      <c r="C25" s="13" t="n">
        <v>0.15</v>
      </c>
      <c r="D25" s="9" t="inlineStr">
        <is>
          <t>Art. 31.º n.º 13 CIRS</t>
        </is>
      </c>
      <c r="E25" s="9" t="inlineStr">
        <is>
          <t>Validado</t>
        </is>
      </c>
      <c r="F25" s="12" t="n">
        <v>0</v>
      </c>
    </row>
    <row r="26">
      <c r="A26" s="8" t="inlineStr">
        <is>
          <t>Dedução específica considerada na justificação de despesas</t>
        </is>
      </c>
      <c r="B26" s="9" t="inlineStr">
        <is>
          <t>DED_ESP</t>
        </is>
      </c>
      <c r="C26" s="10" t="n">
        <v>4104</v>
      </c>
      <c r="D26" s="9" t="inlineStr">
        <is>
          <t>Art. 31.º n.º 13 al. a) CIRS</t>
        </is>
      </c>
      <c r="E26" s="9" t="inlineStr">
        <is>
          <t>Confirmar valor em vigor</t>
        </is>
      </c>
      <c r="F26" s="12" t="n">
        <v>0</v>
      </c>
    </row>
    <row r="27">
      <c r="A27" s="8" t="inlineStr">
        <is>
          <t>Contribuições SS — dedutíveis na parte que excede esta % do rendimento bruto</t>
        </is>
      </c>
      <c r="B27" s="9" t="inlineStr">
        <is>
          <t>LIM_CONTRIB</t>
        </is>
      </c>
      <c r="C27" s="13" t="n">
        <v>0.1</v>
      </c>
      <c r="D27" s="9" t="inlineStr">
        <is>
          <t>Art. 31.º n.º 2 CIRS</t>
        </is>
      </c>
      <c r="E27" s="9" t="inlineStr">
        <is>
          <t>Confirmar</t>
        </is>
      </c>
      <c r="F27" s="12" t="n">
        <v>0</v>
      </c>
    </row>
    <row r="28">
      <c r="A28" s="8" t="inlineStr">
        <is>
          <t>Limiar de permanência no regime simplificado (rendimento bruto)</t>
        </is>
      </c>
      <c r="B28" s="9" t="inlineStr">
        <is>
          <t>LIM_SIMPL</t>
        </is>
      </c>
      <c r="C28" s="16" t="n">
        <v>200000</v>
      </c>
      <c r="D28" s="9" t="inlineStr">
        <is>
          <t>Art. 28.º n.º 2 CIRS</t>
        </is>
      </c>
      <c r="E28" s="9" t="inlineStr">
        <is>
          <t>Confirmar</t>
        </is>
      </c>
      <c r="F28" s="12" t="n">
        <v>0</v>
      </c>
    </row>
    <row r="29">
      <c r="A29" s="8" t="inlineStr">
        <is>
          <t>Período mínimo de permanência na opção por contabilidade organizada (anos)</t>
        </is>
      </c>
      <c r="B29" s="9" t="inlineStr">
        <is>
          <t>PERM_OPCAO</t>
        </is>
      </c>
      <c r="C29" s="15" t="n">
        <v>3</v>
      </c>
      <c r="D29" s="9" t="inlineStr">
        <is>
          <t>Art. 28.º n.º 5 CIRS</t>
        </is>
      </c>
      <c r="E29" s="9" t="inlineStr">
        <is>
          <t>Confirmar</t>
        </is>
      </c>
      <c r="F29" s="12" t="n">
        <v>0</v>
      </c>
    </row>
    <row r="30">
      <c r="A30" s="8" t="inlineStr">
        <is>
          <t>Dedução específica da categoria A</t>
        </is>
      </c>
      <c r="B30" s="9" t="inlineStr">
        <is>
          <t>DED_CATA</t>
        </is>
      </c>
      <c r="C30" s="10" t="n">
        <v>4104</v>
      </c>
      <c r="D30" s="9" t="inlineStr">
        <is>
          <t>Art. 25.º n.º 1 al. a) CIRS</t>
        </is>
      </c>
      <c r="E30" s="9" t="inlineStr">
        <is>
          <t>Confirmar valor em vigor</t>
        </is>
      </c>
      <c r="F30" s="12" t="n">
        <v>0</v>
      </c>
    </row>
    <row r="31">
      <c r="A31" s="8" t="inlineStr">
        <is>
          <t>Coeficiente do simplificado aplicável à receita de cedência de espaço</t>
        </is>
      </c>
      <c r="B31" s="9" t="inlineStr">
        <is>
          <t>COEF_SALA</t>
        </is>
      </c>
      <c r="C31" s="13" t="n">
        <v>0.35</v>
      </c>
      <c r="D31" s="9" t="inlineStr">
        <is>
          <t>Art. 31.º n.º 1 al. c) CIRS — restantes prestações de serviços</t>
        </is>
      </c>
      <c r="E31" s="11" t="inlineStr">
        <is>
          <t>CONFIRMAR (ver R1-29). Depende de N1-04</t>
        </is>
      </c>
      <c r="F31" s="12" t="n">
        <v>1</v>
      </c>
    </row>
    <row r="32">
      <c r="A32" s="2" t="inlineStr">
        <is>
          <t>IRC e tributação da distribuição</t>
        </is>
      </c>
      <c r="B32" s="7" t="n"/>
      <c r="C32" s="7" t="n"/>
      <c r="D32" s="7" t="n"/>
      <c r="E32" s="7" t="n"/>
    </row>
    <row r="33">
      <c r="A33" s="8" t="inlineStr">
        <is>
          <t>IRC — taxa aplicável ao primeiro escalão (PME)</t>
        </is>
      </c>
      <c r="B33" s="9" t="inlineStr">
        <is>
          <t>IRC_PME</t>
        </is>
      </c>
      <c r="C33" s="13" t="n">
        <v>0.16</v>
      </c>
      <c r="D33" s="9" t="inlineStr">
        <is>
          <t>Art. 87.º n.º 2 CIRC</t>
        </is>
      </c>
      <c r="E33" s="11" t="inlineStr">
        <is>
          <t>CONFIRMAR TAXA 2026 (ver R1-11)</t>
        </is>
      </c>
      <c r="F33" s="12" t="n">
        <v>1</v>
      </c>
    </row>
    <row r="34">
      <c r="A34" s="8" t="inlineStr">
        <is>
          <t>IRC — limite da matéria coletável do primeiro escalão</t>
        </is>
      </c>
      <c r="B34" s="9" t="inlineStr">
        <is>
          <t>IRC_LIM</t>
        </is>
      </c>
      <c r="C34" s="16" t="n">
        <v>50000</v>
      </c>
      <c r="D34" s="9" t="inlineStr">
        <is>
          <t>Art. 87.º n.º 2 CIRC</t>
        </is>
      </c>
      <c r="E34" s="11" t="inlineStr">
        <is>
          <t>CONFIRMAR 2026</t>
        </is>
      </c>
      <c r="F34" s="12" t="n">
        <v>1</v>
      </c>
    </row>
    <row r="35">
      <c r="A35" s="8" t="inlineStr">
        <is>
          <t>IRC — taxa geral</t>
        </is>
      </c>
      <c r="B35" s="9" t="inlineStr">
        <is>
          <t>IRC_GER</t>
        </is>
      </c>
      <c r="C35" s="13" t="n">
        <v>0.2</v>
      </c>
      <c r="D35" s="9" t="inlineStr">
        <is>
          <t>Art. 87.º n.º 1 CIRC</t>
        </is>
      </c>
      <c r="E35" s="11" t="inlineStr">
        <is>
          <t>CONFIRMAR TAXA 2026 (ver R1-11)</t>
        </is>
      </c>
      <c r="F35" s="12" t="n">
        <v>1</v>
      </c>
    </row>
    <row r="36">
      <c r="A36" s="8" t="inlineStr">
        <is>
          <t>Derrama municipal (município do Porto)</t>
        </is>
      </c>
      <c r="B36" s="9" t="inlineStr">
        <is>
          <t>DERRAMA</t>
        </is>
      </c>
      <c r="C36" s="14" t="n">
        <v>0.015</v>
      </c>
      <c r="D36" s="9" t="inlineStr">
        <is>
          <t>Art. 18.º Lei 73/2013 + deliberação municipal</t>
        </is>
      </c>
      <c r="E36" s="11" t="inlineStr">
        <is>
          <t>CONFIRMAR município e isenção PME</t>
        </is>
      </c>
      <c r="F36" s="12" t="n">
        <v>1</v>
      </c>
    </row>
    <row r="37">
      <c r="A37" s="8" t="inlineStr">
        <is>
          <t>Derrama incide sobre sociedade transparente? (1=sim / 0=não)</t>
        </is>
      </c>
      <c r="B37" s="9" t="inlineStr">
        <is>
          <t>DERR_TRANSP</t>
        </is>
      </c>
      <c r="C37" s="15" t="n">
        <v>0</v>
      </c>
      <c r="D37" s="9" t="inlineStr">
        <is>
          <t>Questão controvertida — art. 12.º CIRC vs. art. 18.º Lei 73/2013</t>
        </is>
      </c>
      <c r="E37" s="11" t="inlineStr">
        <is>
          <t>EM ABERTO (ver R1-13)</t>
        </is>
      </c>
      <c r="F37" s="12" t="n">
        <v>1</v>
      </c>
    </row>
    <row r="38">
      <c r="A38" s="8" t="inlineStr">
        <is>
          <t>Dividendos — taxa liberatória</t>
        </is>
      </c>
      <c r="B38" s="9" t="inlineStr">
        <is>
          <t>DIV_LIB</t>
        </is>
      </c>
      <c r="C38" s="13" t="n">
        <v>0.28</v>
      </c>
      <c r="D38" s="9" t="inlineStr">
        <is>
          <t>Art. 71.º n.º 1 CIRS</t>
        </is>
      </c>
      <c r="E38" s="9" t="inlineStr">
        <is>
          <t>Confirmar</t>
        </is>
      </c>
      <c r="F38" s="12" t="n">
        <v>0</v>
      </c>
    </row>
    <row r="39">
      <c r="A39" s="8" t="inlineStr">
        <is>
          <t>Dividendos — % considerada em caso de englobamento</t>
        </is>
      </c>
      <c r="B39" s="9" t="inlineStr">
        <is>
          <t>DIV_ENG</t>
        </is>
      </c>
      <c r="C39" s="13" t="n">
        <v>0.5</v>
      </c>
      <c r="D39" s="9" t="inlineStr">
        <is>
          <t>Art. 40.º-A n.º 1 CIRS</t>
        </is>
      </c>
      <c r="E39" s="9" t="inlineStr">
        <is>
          <t>Confirmar</t>
        </is>
      </c>
      <c r="F39" s="12" t="n">
        <v>0</v>
      </c>
    </row>
    <row r="40">
      <c r="A40" s="2" t="inlineStr">
        <is>
          <t>IVA</t>
        </is>
      </c>
      <c r="B40" s="7" t="n"/>
      <c r="C40" s="7" t="n"/>
      <c r="D40" s="7" t="n"/>
      <c r="E40" s="7" t="n"/>
    </row>
    <row r="41">
      <c r="A41" s="8" t="inlineStr">
        <is>
          <t>IVA — taxa normal (continente)</t>
        </is>
      </c>
      <c r="B41" s="9" t="inlineStr">
        <is>
          <t>IVA_NORM</t>
        </is>
      </c>
      <c r="C41" s="13" t="n">
        <v>0.23</v>
      </c>
      <c r="D41" s="9" t="inlineStr">
        <is>
          <t>Art. 18.º n.º 1 al. c) CIVA</t>
        </is>
      </c>
      <c r="E41" s="9" t="inlineStr">
        <is>
          <t>Validado</t>
        </is>
      </c>
      <c r="F41" s="12" t="n">
        <v>0</v>
      </c>
    </row>
    <row r="42">
      <c r="A42" s="8" t="inlineStr">
        <is>
          <t>IVA — taxa reduzida (continente)</t>
        </is>
      </c>
      <c r="B42" s="9" t="inlineStr">
        <is>
          <t>IVA_RED</t>
        </is>
      </c>
      <c r="C42" s="13" t="n">
        <v>0.06</v>
      </c>
      <c r="D42" s="9" t="inlineStr">
        <is>
          <t>Art. 18.º n.º 1 al. a) CIVA + Lista I</t>
        </is>
      </c>
      <c r="E42" s="9" t="inlineStr">
        <is>
          <t>Validado</t>
        </is>
      </c>
      <c r="F42" s="12" t="n">
        <v>0</v>
      </c>
    </row>
    <row r="43">
      <c r="A43" s="2" t="inlineStr">
        <is>
          <t>Amortizações (vias com contabilidade)</t>
        </is>
      </c>
      <c r="B43" s="7" t="n"/>
      <c r="C43" s="7" t="n"/>
      <c r="D43" s="7" t="n"/>
      <c r="E43" s="7" t="n"/>
    </row>
    <row r="44">
      <c r="A44" s="8" t="inlineStr">
        <is>
          <t>Taxa de amortização — obras / benfeitorias em imóvel alheio</t>
        </is>
      </c>
      <c r="B44" s="9" t="inlineStr">
        <is>
          <t>AM_OBRAS</t>
        </is>
      </c>
      <c r="C44" s="13" t="n">
        <v>0.1</v>
      </c>
      <c r="D44" s="9" t="inlineStr">
        <is>
          <t>DR 25/2009 — ou período do contrato de arrendamento, se inferior</t>
        </is>
      </c>
      <c r="E44" s="11" t="inlineStr">
        <is>
          <t>CONFIRMAR código aplicável</t>
        </is>
      </c>
      <c r="F44" s="12" t="n">
        <v>1</v>
      </c>
    </row>
    <row r="45">
      <c r="A45" s="8" t="inlineStr">
        <is>
          <t>Taxa de amortização — equipamento clínico</t>
        </is>
      </c>
      <c r="B45" s="9" t="inlineStr">
        <is>
          <t>AM_EQUIP</t>
        </is>
      </c>
      <c r="C45" s="13" t="n">
        <v>0.2</v>
      </c>
      <c r="D45" s="9" t="inlineStr">
        <is>
          <t>DR 25/2009, tabela II</t>
        </is>
      </c>
      <c r="E45" s="11" t="inlineStr">
        <is>
          <t>CONFIRMAR código aplicável</t>
        </is>
      </c>
      <c r="F45" s="12" t="n">
        <v>1</v>
      </c>
    </row>
    <row r="46">
      <c r="A46" s="8" t="inlineStr">
        <is>
          <t>Taxa de amortização — software</t>
        </is>
      </c>
      <c r="B46" s="9" t="inlineStr">
        <is>
          <t>AM_SOFT</t>
        </is>
      </c>
      <c r="C46" s="13" t="n">
        <v>0.3333</v>
      </c>
      <c r="D46" s="9" t="inlineStr">
        <is>
          <t>DR 25/2009</t>
        </is>
      </c>
      <c r="E46" s="11" t="inlineStr">
        <is>
          <t>CONFIRMAR</t>
        </is>
      </c>
      <c r="F46" s="12" t="n">
        <v>1</v>
      </c>
    </row>
    <row r="47">
      <c r="A47" s="2" t="inlineStr">
        <is>
          <t>Transparência fiscal — limiares do teste (usados na N1, não no cálculo)</t>
        </is>
      </c>
      <c r="B47" s="7" t="n"/>
      <c r="C47" s="7" t="n"/>
      <c r="D47" s="7" t="n"/>
      <c r="E47" s="7" t="n"/>
    </row>
    <row r="48">
      <c r="A48" s="8" t="inlineStr">
        <is>
          <t>% mínima de capital detida por profissionais das atividades do art. 151.º</t>
        </is>
      </c>
      <c r="B48" s="9" t="inlineStr">
        <is>
          <t>TF_CAP</t>
        </is>
      </c>
      <c r="C48" s="13" t="n">
        <v>0.75</v>
      </c>
      <c r="D48" s="9" t="inlineStr">
        <is>
          <t>Art. 6.º n.º 4 al. b) subal. ii) CIRC</t>
        </is>
      </c>
      <c r="E48" s="9" t="inlineStr">
        <is>
          <t>Validado</t>
        </is>
      </c>
      <c r="F48" s="12" t="n">
        <v>0</v>
      </c>
    </row>
    <row r="49">
      <c r="A49" s="8" t="inlineStr">
        <is>
          <t>% mínima de rendimentos provenientes de atividades do art. 151.º</t>
        </is>
      </c>
      <c r="B49" s="9" t="inlineStr">
        <is>
          <t>TF_REND</t>
        </is>
      </c>
      <c r="C49" s="13" t="n">
        <v>0.75</v>
      </c>
      <c r="D49" s="9" t="inlineStr">
        <is>
          <t>Art. 6.º n.º 4 al. b) subal. ii) CIRC</t>
        </is>
      </c>
      <c r="E49" s="9" t="inlineStr">
        <is>
          <t>Validado</t>
        </is>
      </c>
      <c r="F49" s="12" t="n">
        <v>0</v>
      </c>
    </row>
    <row r="50">
      <c r="A50" s="8" t="inlineStr">
        <is>
          <t>N.º máximo de sócios para o teste da subal. ii)</t>
        </is>
      </c>
      <c r="B50" s="9" t="inlineStr">
        <is>
          <t>TF_SOCIOS</t>
        </is>
      </c>
      <c r="C50" s="15" t="n">
        <v>5</v>
      </c>
      <c r="D50" s="9" t="inlineStr">
        <is>
          <t>Art. 6.º n.º 4 al. b) subal. ii) CIRC</t>
        </is>
      </c>
      <c r="E50" s="9" t="inlineStr">
        <is>
          <t>Validado</t>
        </is>
      </c>
      <c r="F50" s="12" t="n">
        <v>0</v>
      </c>
    </row>
    <row r="51"/>
    <row r="52">
      <c r="A52" s="2" t="inlineStr">
        <is>
          <t>Escalões de IRS — taxas gerais</t>
        </is>
      </c>
      <c r="B52" s="7" t="n"/>
      <c r="C52" s="7" t="n"/>
      <c r="D52" s="7" t="n"/>
      <c r="E52" s="7" t="n"/>
    </row>
    <row r="53" ht="26" customHeight="1">
      <c r="A53" s="17" t="inlineStr">
        <is>
          <t>Tabela em vigor: 2025 (Lei n.º 33-A/2025). ATUALIZAR para os escalões do OE2026 antes de qualquer número entrar no relatório. A coluna 'Delta' é a mecânica de cálculo (taxa do escalão menos taxa do anterior) e recalcula sozinha.</t>
        </is>
      </c>
    </row>
    <row r="54" ht="28" customHeight="1">
      <c r="A54" s="6" t="inlineStr">
        <is>
          <t>Escalão</t>
        </is>
      </c>
      <c r="B54" s="6" t="inlineStr">
        <is>
          <t>Limite inferior</t>
        </is>
      </c>
      <c r="C54" s="6" t="inlineStr">
        <is>
          <t>Limite superior</t>
        </is>
      </c>
      <c r="D54" s="6" t="inlineStr">
        <is>
          <t>Taxa</t>
        </is>
      </c>
      <c r="E54" s="6" t="inlineStr">
        <is>
          <t>Delta (calculado)</t>
        </is>
      </c>
    </row>
    <row r="55">
      <c r="A55" s="8" t="n">
        <v>1</v>
      </c>
      <c r="B55" s="16" t="n">
        <v>0</v>
      </c>
      <c r="C55" s="16" t="n">
        <v>8059</v>
      </c>
      <c r="D55" s="14" t="n">
        <v>0.125</v>
      </c>
      <c r="E55" s="18">
        <f>D55</f>
        <v/>
      </c>
    </row>
    <row r="56">
      <c r="A56" s="8" t="n">
        <v>2</v>
      </c>
      <c r="B56" s="16" t="n">
        <v>8059</v>
      </c>
      <c r="C56" s="16" t="n">
        <v>12160</v>
      </c>
      <c r="D56" s="14" t="n">
        <v>0.16</v>
      </c>
      <c r="E56" s="18">
        <f>D56-D55</f>
        <v/>
      </c>
    </row>
    <row r="57">
      <c r="A57" s="8" t="n">
        <v>3</v>
      </c>
      <c r="B57" s="16" t="n">
        <v>12160</v>
      </c>
      <c r="C57" s="16" t="n">
        <v>17233</v>
      </c>
      <c r="D57" s="14" t="n">
        <v>0.215</v>
      </c>
      <c r="E57" s="18">
        <f>D57-D56</f>
        <v/>
      </c>
    </row>
    <row r="58">
      <c r="A58" s="8" t="n">
        <v>4</v>
      </c>
      <c r="B58" s="16" t="n">
        <v>17233</v>
      </c>
      <c r="C58" s="16" t="n">
        <v>22306</v>
      </c>
      <c r="D58" s="14" t="n">
        <v>0.244</v>
      </c>
      <c r="E58" s="18">
        <f>D58-D57</f>
        <v/>
      </c>
    </row>
    <row r="59">
      <c r="A59" s="8" t="n">
        <v>5</v>
      </c>
      <c r="B59" s="16" t="n">
        <v>22306</v>
      </c>
      <c r="C59" s="16" t="n">
        <v>28400</v>
      </c>
      <c r="D59" s="14" t="n">
        <v>0.314</v>
      </c>
      <c r="E59" s="18">
        <f>D59-D58</f>
        <v/>
      </c>
    </row>
    <row r="60">
      <c r="A60" s="8" t="n">
        <v>6</v>
      </c>
      <c r="B60" s="16" t="n">
        <v>28400</v>
      </c>
      <c r="C60" s="16" t="n">
        <v>41629</v>
      </c>
      <c r="D60" s="14" t="n">
        <v>0.349</v>
      </c>
      <c r="E60" s="18">
        <f>D60-D59</f>
        <v/>
      </c>
    </row>
    <row r="61">
      <c r="A61" s="8" t="n">
        <v>7</v>
      </c>
      <c r="B61" s="16" t="n">
        <v>41629</v>
      </c>
      <c r="C61" s="16" t="n">
        <v>44987</v>
      </c>
      <c r="D61" s="14" t="n">
        <v>0.431</v>
      </c>
      <c r="E61" s="18">
        <f>D61-D60</f>
        <v/>
      </c>
    </row>
    <row r="62">
      <c r="A62" s="8" t="n">
        <v>8</v>
      </c>
      <c r="B62" s="16" t="n">
        <v>44987</v>
      </c>
      <c r="C62" s="16" t="n">
        <v>83696</v>
      </c>
      <c r="D62" s="14" t="n">
        <v>0.446</v>
      </c>
      <c r="E62" s="18">
        <f>D62-D61</f>
        <v/>
      </c>
    </row>
    <row r="63">
      <c r="A63" s="8" t="n">
        <v>9</v>
      </c>
      <c r="B63" s="16" t="n">
        <v>83696</v>
      </c>
      <c r="C63" s="19" t="inlineStr">
        <is>
          <t>sem limite</t>
        </is>
      </c>
      <c r="D63" s="14" t="n">
        <v>0.48</v>
      </c>
      <c r="E63" s="18">
        <f>D63-D62</f>
        <v/>
      </c>
    </row>
    <row r="64"/>
    <row r="65">
      <c r="A65" s="2" t="inlineStr">
        <is>
          <t>Taxa adicional de solidariedade (art. 68.º-A CIRS)</t>
        </is>
      </c>
      <c r="B65" s="7" t="n"/>
      <c r="C65" s="7" t="n"/>
      <c r="D65" s="7" t="n"/>
      <c r="E65" s="7" t="n"/>
    </row>
    <row r="66" ht="28" customHeight="1">
      <c r="A66" s="6" t="inlineStr">
        <is>
          <t>Escalão</t>
        </is>
      </c>
      <c r="B66" s="6" t="inlineStr">
        <is>
          <t>Limite inferior</t>
        </is>
      </c>
      <c r="C66" s="6" t="inlineStr">
        <is>
          <t>Limite superior</t>
        </is>
      </c>
      <c r="D66" s="6" t="inlineStr">
        <is>
          <t>Taxa</t>
        </is>
      </c>
      <c r="E66" s="6" t="inlineStr">
        <is>
          <t>Delta (calculado)</t>
        </is>
      </c>
    </row>
    <row r="67">
      <c r="A67" s="8" t="n">
        <v>1</v>
      </c>
      <c r="B67" s="16" t="n">
        <v>80000</v>
      </c>
      <c r="C67" s="16" t="n">
        <v>250000</v>
      </c>
      <c r="D67" s="14" t="n">
        <v>0.025</v>
      </c>
      <c r="E67" s="18">
        <f>D67</f>
        <v/>
      </c>
    </row>
    <row r="68">
      <c r="A68" s="8" t="n">
        <v>2</v>
      </c>
      <c r="B68" s="16" t="n">
        <v>250000</v>
      </c>
      <c r="C68" s="19" t="inlineStr">
        <is>
          <t>sem limite</t>
        </is>
      </c>
      <c r="D68" s="14" t="n">
        <v>0.05</v>
      </c>
      <c r="E68" s="18">
        <f>D68-D67</f>
        <v/>
      </c>
    </row>
    <row r="69"/>
    <row r="70">
      <c r="A70" s="9" t="inlineStr">
        <is>
          <t>Legenda: células a azul sobre fundo amarelo são de preenchimento; tudo o resto é fórmula. Nenhuma taxa deve ser escrita dentro de uma fórmula noutra folha — se faltar um parâmetro, acrescenta-se aqui.</t>
        </is>
      </c>
    </row>
  </sheetData>
  <sheetProtection selectLockedCells="0" selectUnlockedCells="0" sheet="1" objects="0" insertRows="1" insertHyperlinks="1" autoFilter="1" scenarios="0" formatColumns="1" deleteColumns="1" insertColumns="1" pivotTables="1" deleteRows="1" formatCells="0" formatRows="1" sort="1"/>
  <mergeCells count="2">
    <mergeCell ref="A53:E53"/>
    <mergeCell ref="A70:E70"/>
  </mergeCells>
  <dataValidations count="3">
    <dataValidation sqref="C37" showDropDown="0" showInputMessage="0" showErrorMessage="1" allowBlank="0" errorTitle="Valor não permitido" error="Só são admitidos os valores: 0,1" type="list">
      <formula1>"0,1"</formula1>
    </dataValidation>
    <dataValidation sqref="B55 B56 B57 B58 B59 B60 B61 B62 B63 B67 B68 C6 C10 C26 C28 C30 C34 C55 C56 C57 C58 C59 C60 C61 C62 C67" showDropDown="0" showInputMessage="0" showErrorMessage="1" allowBlank="0" errorTitle="Valor inválido" error="Introduza um número. Valores monetários não podem ser negativos." type="decimal" operator="greaterThanOrEqual">
      <formula1>0</formula1>
    </dataValidation>
    <dataValidation sqref="C7 C8 C11 C12 C14 C15 C17 C18 C20 C21 C22 C24 C25 C27 C31 C33 C35 C36 C38 C39 C41 C42 C44 C45 C46 C48 C49 D55 D56 D57 D58 D59 D60 D61 D62 D63 D67 D68" showDropDown="0" showInputMessage="0" showErrorMessage="1" allowBlank="0" errorTitle="Percentagem inválida" error="Introduza a percentagem como fração: 0,25 para 25%." type="decimal" operator="between">
      <formula1>0</formula1>
      <formula2>2</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6" customWidth="1" min="1" max="1"/>
    <col width="14" customWidth="1" min="2" max="2"/>
    <col width="14" customWidth="1" min="3" max="3"/>
    <col width="14" customWidth="1" min="4" max="4"/>
    <col width="14" customWidth="1" min="5" max="5"/>
    <col width="54" customWidth="1" min="6" max="6"/>
  </cols>
  <sheetData>
    <row r="1">
      <c r="A1" s="1" t="inlineStr">
        <is>
          <t>M1 — Camada operacional: capacidade, utilização e faturação</t>
        </is>
      </c>
    </row>
    <row r="2" ht="46" customHeight="1">
      <c r="A2" s="20" t="inlineStr">
        <is>
          <t>A faturação deixa de ser um palpite e passa a ser uma consequência. Gabinetes, dias de funcionamento, duração da consulta e preço determinam quanto é possível faturar — e a linha de utilização diz se a projeção cabe no espaço. Uma projeção que exija mais de 100% de utilização é impossível, não é otimista.</t>
        </is>
      </c>
    </row>
    <row r="3"/>
    <row r="4" ht="28" customHeight="1">
      <c r="A4" s="6" t="inlineStr">
        <is>
          <t>Rubrica</t>
        </is>
      </c>
      <c r="B4" s="6" t="inlineStr">
        <is>
          <t>Ref.</t>
        </is>
      </c>
      <c r="C4" s="6" t="inlineStr">
        <is>
          <t>Baixo</t>
        </is>
      </c>
      <c r="D4" s="6" t="inlineStr">
        <is>
          <t>Base</t>
        </is>
      </c>
      <c r="E4" s="6" t="inlineStr">
        <is>
          <t>Alto</t>
        </is>
      </c>
      <c r="F4" s="6" t="inlineStr">
        <is>
          <t>Nota</t>
        </is>
      </c>
    </row>
    <row r="5">
      <c r="A5" s="2" t="inlineStr">
        <is>
          <t>Espaço e horário</t>
        </is>
      </c>
      <c r="B5" s="7" t="n"/>
      <c r="C5" s="7" t="n"/>
      <c r="D5" s="7" t="n"/>
      <c r="E5" s="7" t="n"/>
      <c r="F5" s="7" t="n"/>
    </row>
    <row r="6">
      <c r="A6" s="8" t="inlineStr">
        <is>
          <t>N.º de gabinetes</t>
        </is>
      </c>
      <c r="B6" s="9" t="inlineStr">
        <is>
          <t>N_GAB</t>
        </is>
      </c>
      <c r="C6" s="15" t="n">
        <v>2</v>
      </c>
      <c r="D6" s="15" t="n">
        <v>2</v>
      </c>
      <c r="E6" s="15" t="n">
        <v>3</v>
      </c>
      <c r="F6" s="17" t="inlineStr">
        <is>
          <t>Input cliente 3 — EM FALTA. Ata, ponto 3: dois espaços em avaliação, 2 e 3 gabinetes. A comparação dedicada está na folha Espaco.</t>
        </is>
      </c>
    </row>
    <row r="7">
      <c r="A7" s="8" t="inlineStr">
        <is>
          <t>Dias de funcionamento por ano</t>
        </is>
      </c>
      <c r="B7" s="9" t="inlineStr">
        <is>
          <t>DIAS_ANO</t>
        </is>
      </c>
      <c r="C7" s="15" t="n">
        <v>220</v>
      </c>
      <c r="D7" s="15" t="n">
        <v>220</v>
      </c>
      <c r="E7" s="15" t="n">
        <v>220</v>
      </c>
      <c r="F7" s="17" t="inlineStr">
        <is>
          <t>EM FALTA. 220 dias corresponde a semana de 5 dias com férias e feriados.</t>
        </is>
      </c>
    </row>
    <row r="8">
      <c r="A8" s="8" t="inlineStr">
        <is>
          <t>Horas úteis por gabinete por dia</t>
        </is>
      </c>
      <c r="B8" s="9" t="inlineStr">
        <is>
          <t>HORAS_DIA</t>
        </is>
      </c>
      <c r="C8" s="15" t="n">
        <v>8</v>
      </c>
      <c r="D8" s="15" t="n">
        <v>8</v>
      </c>
      <c r="E8" s="15" t="n">
        <v>8</v>
      </c>
      <c r="F8" s="17" t="inlineStr">
        <is>
          <t>EM FALTA.</t>
        </is>
      </c>
    </row>
    <row r="9">
      <c r="A9" s="8" t="inlineStr">
        <is>
          <t>Duração média da consulta (minutos)</t>
        </is>
      </c>
      <c r="B9" s="9" t="inlineStr">
        <is>
          <t>DUR_CONS</t>
        </is>
      </c>
      <c r="C9" s="15" t="n">
        <v>45</v>
      </c>
      <c r="D9" s="15" t="n">
        <v>45</v>
      </c>
      <c r="E9" s="15" t="n">
        <v>45</v>
      </c>
      <c r="F9" s="17" t="inlineStr">
        <is>
          <t>EM FALTA. Determina a capacidade. Sessões de 30 ou de 60 minutos mudam tudo o que vem abaixo.</t>
        </is>
      </c>
    </row>
    <row r="10">
      <c r="A10" s="2" t="inlineStr">
        <is>
          <t>Atividade da Dra. Júlia</t>
        </is>
      </c>
      <c r="B10" s="7" t="n"/>
      <c r="C10" s="7" t="n"/>
      <c r="D10" s="7" t="n"/>
      <c r="E10" s="7" t="n"/>
      <c r="F10" s="7" t="n"/>
    </row>
    <row r="11">
      <c r="A11" s="8" t="inlineStr">
        <is>
          <t>Dias por ano em que atende</t>
        </is>
      </c>
      <c r="B11" s="9" t="inlineStr">
        <is>
          <t>DIAS_JUL</t>
        </is>
      </c>
      <c r="C11" s="15" t="n">
        <v>190</v>
      </c>
      <c r="D11" s="15" t="n">
        <v>200</v>
      </c>
      <c r="E11" s="15" t="n">
        <v>210</v>
      </c>
      <c r="F11" s="17" t="inlineStr">
        <is>
          <t>EM FALTA.</t>
        </is>
      </c>
    </row>
    <row r="12">
      <c r="A12" s="8" t="inlineStr">
        <is>
          <t>Consultas por dia</t>
        </is>
      </c>
      <c r="B12" s="9" t="inlineStr">
        <is>
          <t>CONS_JUL</t>
        </is>
      </c>
      <c r="C12" s="15" t="n">
        <v>5</v>
      </c>
      <c r="D12" s="15" t="n">
        <v>6</v>
      </c>
      <c r="E12" s="15" t="n">
        <v>7</v>
      </c>
      <c r="F12" s="17" t="inlineStr">
        <is>
          <t>EM FALTA.</t>
        </is>
      </c>
    </row>
    <row r="13">
      <c r="A13" s="8" t="inlineStr">
        <is>
          <t>Preço médio por consulta</t>
        </is>
      </c>
      <c r="B13" s="9" t="inlineStr">
        <is>
          <t>PRECO_JUL</t>
        </is>
      </c>
      <c r="C13" s="16" t="n">
        <v>45</v>
      </c>
      <c r="D13" s="16" t="n">
        <v>48</v>
      </c>
      <c r="E13" s="16" t="n">
        <v>50</v>
      </c>
      <c r="F13" s="17" t="inlineStr">
        <is>
          <t>Input cliente 2 — EM FALTA. Sai da tabela de preços, que a ata regista como inexistente.</t>
        </is>
      </c>
    </row>
    <row r="14">
      <c r="A14" s="2" t="inlineStr">
        <is>
          <t>Fisioterapeutas a integrar</t>
        </is>
      </c>
      <c r="B14" s="7" t="n"/>
      <c r="C14" s="7" t="n"/>
      <c r="D14" s="7" t="n"/>
      <c r="E14" s="7" t="n"/>
      <c r="F14" s="7" t="n"/>
    </row>
    <row r="15">
      <c r="A15" s="8" t="inlineStr">
        <is>
          <t>N.º de fisioterapeutas</t>
        </is>
      </c>
      <c r="B15" s="9" t="inlineStr">
        <is>
          <t>N_FISIO</t>
        </is>
      </c>
      <c r="C15" s="15" t="n">
        <v>1</v>
      </c>
      <c r="D15" s="15" t="n">
        <v>1</v>
      </c>
      <c r="E15" s="15" t="n">
        <v>2</v>
      </c>
      <c r="F15" s="17" t="inlineStr">
        <is>
          <t>Ata, ponto 3.</t>
        </is>
      </c>
    </row>
    <row r="16">
      <c r="A16" s="8" t="inlineStr">
        <is>
          <t>Dias por ano, por profissional</t>
        </is>
      </c>
      <c r="B16" s="9" t="inlineStr">
        <is>
          <t>DIAS_FIS</t>
        </is>
      </c>
      <c r="C16" s="15" t="n">
        <v>160</v>
      </c>
      <c r="D16" s="15" t="n">
        <v>180</v>
      </c>
      <c r="E16" s="15" t="n">
        <v>180</v>
      </c>
      <c r="F16" s="17" t="inlineStr">
        <is>
          <t>EM FALTA.</t>
        </is>
      </c>
    </row>
    <row r="17">
      <c r="A17" s="8" t="inlineStr">
        <is>
          <t>Consultas por dia, por profissional</t>
        </is>
      </c>
      <c r="B17" s="9" t="inlineStr">
        <is>
          <t>CONS_FIS</t>
        </is>
      </c>
      <c r="C17" s="15" t="n">
        <v>4</v>
      </c>
      <c r="D17" s="15" t="n">
        <v>5</v>
      </c>
      <c r="E17" s="15" t="n">
        <v>4</v>
      </c>
      <c r="F17" s="17" t="inlineStr">
        <is>
          <t>EM FALTA.</t>
        </is>
      </c>
    </row>
    <row r="18">
      <c r="A18" s="8" t="inlineStr">
        <is>
          <t>Preço médio por consulta</t>
        </is>
      </c>
      <c r="B18" s="9" t="inlineStr">
        <is>
          <t>PRECO_FIS</t>
        </is>
      </c>
      <c r="C18" s="16" t="n">
        <v>45</v>
      </c>
      <c r="D18" s="16" t="n">
        <v>48</v>
      </c>
      <c r="E18" s="16" t="n">
        <v>50</v>
      </c>
      <c r="F18" s="17" t="inlineStr">
        <is>
          <t>EM FALTA.</t>
        </is>
      </c>
    </row>
    <row r="19">
      <c r="A19" s="2" t="inlineStr">
        <is>
          <t>Capacidade</t>
        </is>
      </c>
      <c r="B19" s="7" t="n"/>
      <c r="C19" s="7" t="n"/>
      <c r="D19" s="7" t="n"/>
      <c r="E19" s="7" t="n"/>
      <c r="F19" s="7" t="n"/>
    </row>
    <row r="20">
      <c r="A20" s="8" t="inlineStr">
        <is>
          <t>Capacidade diária por gabinete (consultas)</t>
        </is>
      </c>
      <c r="B20" s="9" t="inlineStr">
        <is>
          <t>CAP_DIA</t>
        </is>
      </c>
      <c r="C20" s="21">
        <f>$C$8*60/$C$9</f>
        <v/>
      </c>
      <c r="D20" s="21">
        <f>$D$8*60/$D$9</f>
        <v/>
      </c>
      <c r="E20" s="21">
        <f>$E$8*60/$E$9</f>
        <v/>
      </c>
      <c r="F20" s="17" t="inlineStr"/>
    </row>
    <row r="21">
      <c r="A21" s="22" t="inlineStr">
        <is>
          <t>Capacidade anual instalada (consultas)</t>
        </is>
      </c>
      <c r="B21" s="9" t="inlineStr">
        <is>
          <t>CAP_ANO</t>
        </is>
      </c>
      <c r="C21" s="23">
        <f>$C$6*$C$7*$C$20</f>
        <v/>
      </c>
      <c r="D21" s="23">
        <f>$D$6*$D$7*$D$20</f>
        <v/>
      </c>
      <c r="E21" s="23">
        <f>$E$6*$E$7*$E$20</f>
        <v/>
      </c>
      <c r="F21" s="17" t="inlineStr"/>
    </row>
    <row r="22">
      <c r="A22" s="2" t="inlineStr">
        <is>
          <t>Procura projetada</t>
        </is>
      </c>
      <c r="B22" s="7" t="n"/>
      <c r="C22" s="7" t="n"/>
      <c r="D22" s="7" t="n"/>
      <c r="E22" s="7" t="n"/>
      <c r="F22" s="7" t="n"/>
    </row>
    <row r="23">
      <c r="A23" s="8" t="inlineStr">
        <is>
          <t>Consultas anuais da Dra. Júlia</t>
        </is>
      </c>
      <c r="B23" s="9" t="inlineStr">
        <is>
          <t>CONS_JUL_A</t>
        </is>
      </c>
      <c r="C23" s="24">
        <f>$C$11*$C$12</f>
        <v/>
      </c>
      <c r="D23" s="24">
        <f>$D$11*$D$12</f>
        <v/>
      </c>
      <c r="E23" s="24">
        <f>$E$11*$E$12</f>
        <v/>
      </c>
      <c r="F23" s="17" t="inlineStr"/>
    </row>
    <row r="24">
      <c r="A24" s="8" t="inlineStr">
        <is>
          <t>Consultas anuais dos colaboradores</t>
        </is>
      </c>
      <c r="B24" s="9" t="inlineStr">
        <is>
          <t>CONS_FIS_A</t>
        </is>
      </c>
      <c r="C24" s="24">
        <f>$C$15*$C$16*$C$17</f>
        <v/>
      </c>
      <c r="D24" s="24">
        <f>$D$15*$D$16*$D$17</f>
        <v/>
      </c>
      <c r="E24" s="24">
        <f>$E$15*$E$16*$E$17</f>
        <v/>
      </c>
      <c r="F24" s="17" t="inlineStr"/>
    </row>
    <row r="25">
      <c r="A25" s="22" t="inlineStr">
        <is>
          <t>Consultas anuais totais</t>
        </is>
      </c>
      <c r="B25" s="9" t="inlineStr">
        <is>
          <t>CONS_TOT</t>
        </is>
      </c>
      <c r="C25" s="23">
        <f>$C$23+$C$24</f>
        <v/>
      </c>
      <c r="D25" s="23">
        <f>$D$23+$D$24</f>
        <v/>
      </c>
      <c r="E25" s="23">
        <f>$E$23+$E$24</f>
        <v/>
      </c>
      <c r="F25" s="17" t="inlineStr"/>
    </row>
    <row r="26">
      <c r="A26" s="22" t="inlineStr">
        <is>
          <t>TAXA DE UTILIZAÇÃO DOS GABINETES</t>
        </is>
      </c>
      <c r="B26" s="9" t="inlineStr">
        <is>
          <t>UTILIZ</t>
        </is>
      </c>
      <c r="C26" s="25">
        <f>IF($C$21&lt;=0,0,$C$25/$C$21)</f>
        <v/>
      </c>
      <c r="D26" s="25">
        <f>IF($D$21&lt;=0,0,$D$25/$D$21)</f>
        <v/>
      </c>
      <c r="E26" s="25">
        <f>IF($E$21&lt;=0,0,$E$25/$E$21)</f>
        <v/>
      </c>
      <c r="F26" s="17" t="inlineStr">
        <is>
          <t>Acima de 100% a projeção é impossível: não há gabinetes para as consultas previstas. Acima de 85% é operacionalmente muito exigente. Ver folha Alertas.</t>
        </is>
      </c>
    </row>
    <row r="27">
      <c r="A27" s="22" t="inlineStr">
        <is>
          <t>Leitura da utilização</t>
        </is>
      </c>
      <c r="B27" s="9" t="inlineStr">
        <is>
          <t>TESTE_CAP</t>
        </is>
      </c>
      <c r="C27" s="26">
        <f>IF($C$26&gt;Parametros!$C$20,"IMPOSSÍVEL — a projeção não cabe no espaço",IF($C$26&gt;Parametros!$C$21,"MUITO EXIGENTE — pouca folga operacional",IF($C$26&lt;Parametros!$C$22,"FOLGA ELEVADA — capacidade subaproveitada","PLAUSÍVEL")))</f>
        <v/>
      </c>
      <c r="D27" s="26">
        <f>IF($D$26&gt;Parametros!$C$20,"IMPOSSÍVEL — a projeção não cabe no espaço",IF($D$26&gt;Parametros!$C$21,"MUITO EXIGENTE — pouca folga operacional",IF($D$26&lt;Parametros!$C$22,"FOLGA ELEVADA — capacidade subaproveitada","PLAUSÍVEL")))</f>
        <v/>
      </c>
      <c r="E27" s="26">
        <f>IF($E$26&gt;Parametros!$C$20,"IMPOSSÍVEL — a projeção não cabe no espaço",IF($E$26&gt;Parametros!$C$21,"MUITO EXIGENTE — pouca folga operacional",IF($E$26&lt;Parametros!$C$22,"FOLGA ELEVADA — capacidade subaproveitada","PLAUSÍVEL")))</f>
        <v/>
      </c>
      <c r="F27" s="17" t="inlineStr"/>
    </row>
    <row r="28">
      <c r="A28" s="2" t="inlineStr">
        <is>
          <t>Faturação derivada</t>
        </is>
      </c>
      <c r="B28" s="7" t="n"/>
      <c r="C28" s="7" t="n"/>
      <c r="D28" s="7" t="n"/>
      <c r="E28" s="7" t="n"/>
      <c r="F28" s="7" t="n"/>
    </row>
    <row r="29">
      <c r="A29" s="22" t="inlineStr">
        <is>
          <t>Faturação anual da Dra. Júlia</t>
        </is>
      </c>
      <c r="B29" s="9" t="inlineStr">
        <is>
          <t>FAT_JUL</t>
        </is>
      </c>
      <c r="C29" s="27">
        <f>$C$23*$C$13</f>
        <v/>
      </c>
      <c r="D29" s="27">
        <f>$D$23*$D$13</f>
        <v/>
      </c>
      <c r="E29" s="27">
        <f>$E$23*$E$13</f>
        <v/>
      </c>
      <c r="F29" s="17" t="inlineStr"/>
    </row>
    <row r="30">
      <c r="A30" s="22" t="inlineStr">
        <is>
          <t>Faturação anual gerada pelos colaboradores</t>
        </is>
      </c>
      <c r="B30" s="9" t="inlineStr">
        <is>
          <t>FAT_FIS</t>
        </is>
      </c>
      <c r="C30" s="27">
        <f>$C$24*$C$18</f>
        <v/>
      </c>
      <c r="D30" s="27">
        <f>$D$24*$D$18</f>
        <v/>
      </c>
      <c r="E30" s="27">
        <f>$E$24*$E$18</f>
        <v/>
      </c>
      <c r="F30" s="17" t="inlineStr"/>
    </row>
    <row r="31">
      <c r="A31" s="22" t="inlineStr">
        <is>
          <t>Faturação anual total gerada</t>
        </is>
      </c>
      <c r="B31" s="9" t="inlineStr">
        <is>
          <t>FAT_TOT</t>
        </is>
      </c>
      <c r="C31" s="27">
        <f>$C$29+$C$30</f>
        <v/>
      </c>
      <c r="D31" s="27">
        <f>$D$29+$D$30</f>
        <v/>
      </c>
      <c r="E31" s="27">
        <f>$E$29+$E$30</f>
        <v/>
      </c>
      <c r="F31" s="17" t="inlineStr"/>
    </row>
    <row r="32">
      <c r="A32" s="2" t="inlineStr">
        <is>
          <t>Unit economics</t>
        </is>
      </c>
      <c r="B32" s="7" t="n"/>
      <c r="C32" s="7" t="n"/>
      <c r="D32" s="7" t="n"/>
      <c r="E32" s="7" t="n"/>
      <c r="F32" s="7" t="n"/>
    </row>
    <row r="33">
      <c r="A33" s="8" t="inlineStr">
        <is>
          <t>Faturação por gabinete</t>
        </is>
      </c>
      <c r="B33" s="9" t="inlineStr">
        <is>
          <t>FAT_GAB</t>
        </is>
      </c>
      <c r="C33" s="28">
        <f>IF($C$6&lt;=0,0,$C$31/$C$6)</f>
        <v/>
      </c>
      <c r="D33" s="28">
        <f>IF($D$6&lt;=0,0,$D$31/$D$6)</f>
        <v/>
      </c>
      <c r="E33" s="28">
        <f>IF($E$6&lt;=0,0,$E$31/$E$6)</f>
        <v/>
      </c>
      <c r="F33" s="17" t="inlineStr"/>
    </row>
    <row r="34">
      <c r="A34" s="8" t="inlineStr">
        <is>
          <t>Consultas por gabinete</t>
        </is>
      </c>
      <c r="B34" s="9" t="inlineStr">
        <is>
          <t>CONS_GAB</t>
        </is>
      </c>
      <c r="C34" s="24">
        <f>IF($C$6&lt;=0,0,$C$25/$C$6)</f>
        <v/>
      </c>
      <c r="D34" s="24">
        <f>IF($D$6&lt;=0,0,$D$25/$D$6)</f>
        <v/>
      </c>
      <c r="E34" s="24">
        <f>IF($E$6&lt;=0,0,$E$25/$E$6)</f>
        <v/>
      </c>
      <c r="F34" s="17" t="inlineStr"/>
    </row>
    <row r="35">
      <c r="A35" s="8" t="inlineStr">
        <is>
          <t>Faturação por profissional</t>
        </is>
      </c>
      <c r="B35" s="9" t="inlineStr">
        <is>
          <t>FAT_PROF</t>
        </is>
      </c>
      <c r="C35" s="28">
        <f>$C$31/(1+$C$15)</f>
        <v/>
      </c>
      <c r="D35" s="28">
        <f>$D$31/(1+$D$15)</f>
        <v/>
      </c>
      <c r="E35" s="28">
        <f>$E$31/(1+$E$15)</f>
        <v/>
      </c>
      <c r="F35" s="17" t="inlineStr"/>
    </row>
    <row r="36">
      <c r="A36" s="8" t="inlineStr">
        <is>
          <t>Faturação por hora de gabinete disponível</t>
        </is>
      </c>
      <c r="B36" s="9" t="inlineStr">
        <is>
          <t>FAT_HORA</t>
        </is>
      </c>
      <c r="C36" s="29">
        <f>IF($C$6*$C$7*$C$8&lt;=0,0,$C$31/($C$6*$C$7*$C$8))</f>
        <v/>
      </c>
      <c r="D36" s="29">
        <f>IF($D$6*$D$7*$D$8&lt;=0,0,$D$31/($D$6*$D$7*$D$8))</f>
        <v/>
      </c>
      <c r="E36" s="29">
        <f>IF($E$6*$E$7*$E$8&lt;=0,0,$E$31/($E$6*$E$7*$E$8))</f>
        <v/>
      </c>
      <c r="F36" s="17" t="inlineStr">
        <is>
          <t>Indicador de eficiência do espaço, independente da estrutura fiscal.</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C13 C18 D13 D18 E13 E18" showDropDown="0" showInputMessage="0" showErrorMessage="1" allowBlank="0" errorTitle="Valor inválido" error="Introduza um número. Valores monetários não podem ser negativo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4" customWidth="1" min="3" max="3"/>
    <col width="14" customWidth="1" min="4" max="4"/>
    <col width="14" customWidth="1" min="5" max="5"/>
    <col width="52" customWidth="1" min="6" max="6"/>
    <col width="20" customWidth="1" min="7" max="7"/>
    <col width="13" customWidth="1" min="8" max="8"/>
    <col width="11" customWidth="1" min="9" max="9"/>
    <col width="8" customWidth="1" min="10" max="10"/>
  </cols>
  <sheetData>
    <row r="1">
      <c r="A1" s="1" t="inlineStr">
        <is>
          <t>M1 — Inputs (folha única de parâmetros do caso)</t>
        </is>
      </c>
    </row>
    <row r="2" ht="46" customHeight="1">
      <c r="A2" s="20" t="inlineStr">
        <is>
          <t>ATENÇÃO: à data de 22/08/2026 a cliente não forneceu nenhum dos inputs da secção 4 do brief. Todos os valores abaixo são ILUSTRATIVOS, servem apenas para testar o motor de cálculo, e estão registados como pressupostos em R1. Nenhum número desta folha pode transitar para o relatório enquanto não for substituído por dados da cliente.</t>
        </is>
      </c>
    </row>
    <row r="3"/>
    <row r="4" ht="28" customHeight="1">
      <c r="A4" s="6" t="inlineStr">
        <is>
          <t>Input</t>
        </is>
      </c>
      <c r="B4" s="6" t="inlineStr">
        <is>
          <t>Referência</t>
        </is>
      </c>
      <c r="C4" s="6" t="inlineStr">
        <is>
          <t>Baixo</t>
        </is>
      </c>
      <c r="D4" s="6" t="inlineStr">
        <is>
          <t>Base</t>
        </is>
      </c>
      <c r="E4" s="6" t="inlineStr">
        <is>
          <t>Alto</t>
        </is>
      </c>
      <c r="F4" s="6" t="inlineStr">
        <is>
          <t>Nota / origem</t>
        </is>
      </c>
      <c r="G4" s="6" t="inlineStr">
        <is>
          <t>Tipo</t>
        </is>
      </c>
      <c r="H4" s="6" t="inlineStr">
        <is>
          <t>Fonte</t>
        </is>
      </c>
      <c r="I4" s="6" t="inlineStr">
        <is>
          <t>Confiança</t>
        </is>
      </c>
    </row>
    <row r="5">
      <c r="A5" s="2" t="inlineStr">
        <is>
          <t>Faturação — origem e modelo de colaboração</t>
        </is>
      </c>
      <c r="B5" s="7" t="n"/>
      <c r="C5" s="7" t="n"/>
      <c r="D5" s="7" t="n"/>
      <c r="E5" s="7" t="n"/>
      <c r="F5" s="7" t="n"/>
      <c r="G5" s="7" t="n"/>
      <c r="H5" s="7" t="n"/>
      <c r="I5" s="7" t="n"/>
    </row>
    <row r="6">
      <c r="A6" s="8" t="inlineStr">
        <is>
          <t>ORIGEM DA FATURAÇÃO: 1 = valores manuais · 2 = derivada da capacidade (folha Operacao)</t>
        </is>
      </c>
      <c r="B6" s="9" t="inlineStr">
        <is>
          <t>FONTE_FAT</t>
        </is>
      </c>
      <c r="C6" s="15" t="n">
        <v>2</v>
      </c>
      <c r="D6" s="15" t="n">
        <v>2</v>
      </c>
      <c r="E6" s="15" t="n">
        <v>2</v>
      </c>
      <c r="F6" s="17" t="inlineStr">
        <is>
          <t>ALAVANCA. Em 2, a faturação é uma consequência de gabinetes, dias, duração e preço, e é verificável contra a capacidade instalada. Em 1, é um número que alguém escreveu.</t>
        </is>
      </c>
      <c r="G6" s="30" t="inlineStr">
        <is>
          <t>ESTIMATIVA_VCLEVEL</t>
        </is>
      </c>
      <c r="H6" s="30" t="inlineStr">
        <is>
          <t>VCLevel</t>
        </is>
      </c>
      <c r="I6" s="30" t="inlineStr">
        <is>
          <t>Alta</t>
        </is>
      </c>
      <c r="J6" s="12" t="n">
        <v>0</v>
      </c>
    </row>
    <row r="7">
      <c r="A7" s="8" t="inlineStr">
        <is>
          <t>Faturação anual da Dra. Júlia — valor manual</t>
        </is>
      </c>
      <c r="B7" s="9" t="inlineStr">
        <is>
          <t>FAT_PROP_MAN</t>
        </is>
      </c>
      <c r="C7" s="16" t="n">
        <v>52000</v>
      </c>
      <c r="D7" s="16" t="n">
        <v>65000</v>
      </c>
      <c r="E7" s="16" t="n">
        <v>85000</v>
      </c>
      <c r="F7" s="31" t="inlineStr">
        <is>
          <t>Só usado se FONTE_FAT = 1.</t>
        </is>
      </c>
      <c r="G7" s="32" t="inlineStr">
        <is>
          <t>A_VALIDAR</t>
        </is>
      </c>
      <c r="H7" s="30" t="inlineStr">
        <is>
          <t>cliente</t>
        </is>
      </c>
      <c r="I7" s="30" t="inlineStr">
        <is>
          <t>Baixa</t>
        </is>
      </c>
      <c r="J7" s="12" t="n">
        <v>1</v>
      </c>
    </row>
    <row r="8">
      <c r="A8" s="8" t="inlineStr">
        <is>
          <t>Faturação dos colaboradores — valor manual</t>
        </is>
      </c>
      <c r="B8" s="9" t="inlineStr">
        <is>
          <t>FAT_COLAB_MAN</t>
        </is>
      </c>
      <c r="C8" s="16" t="n">
        <v>18000</v>
      </c>
      <c r="D8" s="16" t="n">
        <v>30000</v>
      </c>
      <c r="E8" s="16" t="n">
        <v>45000</v>
      </c>
      <c r="F8" s="31" t="inlineStr">
        <is>
          <t>Só usado se FONTE_FAT = 1.</t>
        </is>
      </c>
      <c r="G8" s="32" t="inlineStr">
        <is>
          <t>A_VALIDAR</t>
        </is>
      </c>
      <c r="H8" s="30" t="inlineStr">
        <is>
          <t>cliente</t>
        </is>
      </c>
      <c r="I8" s="30" t="inlineStr">
        <is>
          <t>Baixa</t>
        </is>
      </c>
      <c r="J8" s="12" t="n">
        <v>1</v>
      </c>
    </row>
    <row r="9">
      <c r="A9" s="8" t="inlineStr">
        <is>
          <t>Faturação anual da própria Dra. Júlia (isenta, art. 9.º CIVA)</t>
        </is>
      </c>
      <c r="B9" s="9" t="inlineStr">
        <is>
          <t>FAT_PROP</t>
        </is>
      </c>
      <c r="C9" s="28">
        <f>IF(Inputs!$C$6=1,Inputs!$C$7,Operacao!$C$29)</f>
        <v/>
      </c>
      <c r="D9" s="28">
        <f>IF(Inputs!$D$6=1,Inputs!$D$7,Operacao!$D$29)</f>
        <v/>
      </c>
      <c r="E9" s="28">
        <f>IF(Inputs!$E$6=1,Inputs!$E$7,Operacao!$E$29)</f>
        <v/>
      </c>
      <c r="F9" s="17" t="inlineStr">
        <is>
          <t>Doentes próprios, independentemente do modelo de colaboração.</t>
        </is>
      </c>
      <c r="G9" s="30" t="inlineStr">
        <is>
          <t>DERIVADO</t>
        </is>
      </c>
      <c r="H9" s="30" t="inlineStr">
        <is>
          <t>modelo</t>
        </is>
      </c>
      <c r="I9" s="30" t="inlineStr">
        <is>
          <t>n/a</t>
        </is>
      </c>
      <c r="J9" s="12" t="n">
        <v>0</v>
      </c>
    </row>
    <row r="10">
      <c r="A10" s="8" t="inlineStr">
        <is>
          <t>Faturação anual gerada pelos fisioterapeutas a integrar</t>
        </is>
      </c>
      <c r="B10" s="9" t="inlineStr">
        <is>
          <t>FAT_COLAB</t>
        </is>
      </c>
      <c r="C10" s="28">
        <f>IF(Inputs!$C$6=1,Inputs!$C$8,Operacao!$C$30)</f>
        <v/>
      </c>
      <c r="D10" s="28">
        <f>IF(Inputs!$D$6=1,Inputs!$D$8,Operacao!$D$30)</f>
        <v/>
      </c>
      <c r="E10" s="28">
        <f>IF(Inputs!$E$6=1,Inputs!$E$8,Operacao!$E$30)</f>
        <v/>
      </c>
      <c r="F10" s="17" t="inlineStr">
        <is>
          <t>No modelo 1 é faturada pela clínica; no modelo 2 é faturada diretamente pelos profissionais e nunca passa pela clínica.</t>
        </is>
      </c>
      <c r="G10" s="30" t="inlineStr">
        <is>
          <t>DERIVADO</t>
        </is>
      </c>
      <c r="H10" s="30" t="inlineStr">
        <is>
          <t>modelo</t>
        </is>
      </c>
      <c r="I10" s="30" t="inlineStr">
        <is>
          <t>n/a</t>
        </is>
      </c>
      <c r="J10" s="12" t="n">
        <v>0</v>
      </c>
    </row>
    <row r="11">
      <c r="A11" s="8" t="inlineStr">
        <is>
          <t>MODELO DE COLABORAÇÃO: 1 = prestação de serviços · 2 = cedência de sala</t>
        </is>
      </c>
      <c r="B11" s="9" t="inlineStr">
        <is>
          <t>MOD_COLAB</t>
        </is>
      </c>
      <c r="C11" s="15" t="n">
        <v>1</v>
      </c>
      <c r="D11" s="15" t="n">
        <v>1</v>
      </c>
      <c r="E11" s="15" t="n">
        <v>1</v>
      </c>
      <c r="F11" s="31" t="inlineStr">
        <is>
          <t>ALAVANCA. Ata, ponto 4. Alterna toda a estrutura de receita e custo. Sustenta a exposição E2.6. AVISO: a qualificação jurídica e fiscal depende da configuração contratual e operacional concreta, não do nome comercial do modelo. Ver N1-04 e R1-31.</t>
        </is>
      </c>
      <c r="G11" s="32" t="inlineStr">
        <is>
          <t>A_VALIDAR</t>
        </is>
      </c>
      <c r="H11" s="30" t="inlineStr">
        <is>
          <t>cliente</t>
        </is>
      </c>
      <c r="I11" s="30" t="inlineStr">
        <is>
          <t>Baixa</t>
        </is>
      </c>
      <c r="J11" s="12" t="n">
        <v>1</v>
      </c>
    </row>
    <row r="12">
      <c r="A12" s="8" t="inlineStr">
        <is>
          <t>Modelo 1 — honorários em % da faturação que o colaborador gera</t>
        </is>
      </c>
      <c r="B12" s="9" t="inlineStr">
        <is>
          <t>PCT_HONOR</t>
        </is>
      </c>
      <c r="C12" s="13" t="n">
        <v>0.7</v>
      </c>
      <c r="D12" s="13" t="n">
        <v>0.7</v>
      </c>
      <c r="E12" s="13" t="n">
        <v>0.7</v>
      </c>
      <c r="F12" s="31" t="inlineStr">
        <is>
          <t>Input cliente 5 — EM FALTA. Variável de sensibilidade: é o que separa faturação de margem.</t>
        </is>
      </c>
      <c r="G12" s="32" t="inlineStr">
        <is>
          <t>A_VALIDAR</t>
        </is>
      </c>
      <c r="H12" s="30" t="inlineStr">
        <is>
          <t>cliente</t>
        </is>
      </c>
      <c r="I12" s="30" t="inlineStr">
        <is>
          <t>Baixa</t>
        </is>
      </c>
      <c r="J12" s="12" t="n">
        <v>1</v>
      </c>
    </row>
    <row r="13">
      <c r="A13" s="8" t="inlineStr">
        <is>
          <t>Modelo 1 — honorários anuais a pagar aos fisioterapeutas</t>
        </is>
      </c>
      <c r="B13" s="9" t="inlineStr">
        <is>
          <t>HONOR</t>
        </is>
      </c>
      <c r="C13" s="28">
        <f>Inputs!$C$10*Inputs!$C$12</f>
        <v/>
      </c>
      <c r="D13" s="28">
        <f>Inputs!$D$10*Inputs!$D$12</f>
        <v/>
      </c>
      <c r="E13" s="28">
        <f>Inputs!$E$10*Inputs!$E$12</f>
        <v/>
      </c>
      <c r="F13" s="17" t="inlineStr">
        <is>
          <t>Ignorado no modelo 2.</t>
        </is>
      </c>
      <c r="G13" s="30" t="inlineStr">
        <is>
          <t>DERIVADO</t>
        </is>
      </c>
      <c r="H13" s="30" t="inlineStr">
        <is>
          <t>modelo</t>
        </is>
      </c>
      <c r="I13" s="30" t="inlineStr">
        <is>
          <t>n/a</t>
        </is>
      </c>
      <c r="J13" s="12" t="n">
        <v>0</v>
      </c>
    </row>
    <row r="14">
      <c r="A14" s="8" t="inlineStr">
        <is>
          <t>Modelo 2 — renda em % da faturação que o colaborador gera</t>
        </is>
      </c>
      <c r="B14" s="9" t="inlineStr">
        <is>
          <t>PCT_SALA</t>
        </is>
      </c>
      <c r="C14" s="13" t="n">
        <v>0.3</v>
      </c>
      <c r="D14" s="13" t="n">
        <v>0.3</v>
      </c>
      <c r="E14" s="13" t="n">
        <v>0.3</v>
      </c>
      <c r="F14" s="31" t="inlineStr">
        <is>
          <t>Input cliente 5 — EM FALTA. Se a renda for fixa e não percentual, introduzir o valor equivalente.</t>
        </is>
      </c>
      <c r="G14" s="32" t="inlineStr">
        <is>
          <t>A_VALIDAR</t>
        </is>
      </c>
      <c r="H14" s="30" t="inlineStr">
        <is>
          <t>cliente</t>
        </is>
      </c>
      <c r="I14" s="30" t="inlineStr">
        <is>
          <t>Baixa</t>
        </is>
      </c>
      <c r="J14" s="12" t="n">
        <v>1</v>
      </c>
    </row>
    <row r="15">
      <c r="A15" s="8" t="inlineStr">
        <is>
          <t>Modelo 2 — receita anual de cedência de sala</t>
        </is>
      </c>
      <c r="B15" s="9" t="inlineStr">
        <is>
          <t>REC_SALA</t>
        </is>
      </c>
      <c r="C15" s="28">
        <f>Inputs!$C$10*Inputs!$C$14</f>
        <v/>
      </c>
      <c r="D15" s="28">
        <f>Inputs!$D$10*Inputs!$D$14</f>
        <v/>
      </c>
      <c r="E15" s="28">
        <f>Inputs!$E$10*Inputs!$E$14</f>
        <v/>
      </c>
      <c r="F15" s="17" t="inlineStr">
        <is>
          <t>Ignorado no modelo 1.</t>
        </is>
      </c>
      <c r="G15" s="30" t="inlineStr">
        <is>
          <t>DERIVADO</t>
        </is>
      </c>
      <c r="H15" s="30" t="inlineStr">
        <is>
          <t>modelo</t>
        </is>
      </c>
      <c r="I15" s="30" t="inlineStr">
        <is>
          <t>n/a</t>
        </is>
      </c>
      <c r="J15" s="12" t="n">
        <v>0</v>
      </c>
    </row>
    <row r="16">
      <c r="A16" s="8" t="inlineStr">
        <is>
          <t>Cedência de sala sujeita a IVA? (1 = sim / 0 = arrendamento isento)</t>
        </is>
      </c>
      <c r="B16" s="9" t="inlineStr">
        <is>
          <t>SALA_TRIB</t>
        </is>
      </c>
      <c r="C16" s="15" t="n">
        <v>0</v>
      </c>
      <c r="D16" s="15" t="n">
        <v>0</v>
      </c>
      <c r="E16" s="15" t="n">
        <v>0</v>
      </c>
      <c r="F16" s="31" t="inlineStr">
        <is>
          <t>Depende de N1-04: arrendamento isento (art. 9.º n.º 29 CIVA) ou prestação de serviços com disponibilização de meios, tributada. Não está resolvido.</t>
        </is>
      </c>
      <c r="G16" s="32" t="inlineStr">
        <is>
          <t>A_VALIDAR</t>
        </is>
      </c>
      <c r="H16" s="30" t="inlineStr">
        <is>
          <t>legislação</t>
        </is>
      </c>
      <c r="I16" s="30" t="inlineStr">
        <is>
          <t>Baixa</t>
        </is>
      </c>
      <c r="J16" s="12" t="n">
        <v>1</v>
      </c>
    </row>
    <row r="17">
      <c r="A17" s="8" t="inlineStr">
        <is>
          <t>Faturação anual sujeita a IVA dentro da sociedade (atividade do cônjuge)</t>
        </is>
      </c>
      <c r="B17" s="9" t="inlineStr">
        <is>
          <t>FAT_TRIB</t>
        </is>
      </c>
      <c r="C17" s="16" t="n">
        <v>0</v>
      </c>
      <c r="D17" s="16" t="n">
        <v>0</v>
      </c>
      <c r="E17" s="16" t="n">
        <v>0</v>
      </c>
      <c r="F17" s="31" t="inlineStr">
        <is>
          <t>Input cliente 6 — EM FALTA. Só relevante na via 4 e no cenário de sujeito passivo misto.</t>
        </is>
      </c>
      <c r="G17" s="32" t="inlineStr">
        <is>
          <t>A_VALIDAR</t>
        </is>
      </c>
      <c r="H17" s="30" t="inlineStr">
        <is>
          <t>cliente</t>
        </is>
      </c>
      <c r="I17" s="30" t="inlineStr">
        <is>
          <t>Baixa</t>
        </is>
      </c>
      <c r="J17" s="12" t="n">
        <v>1</v>
      </c>
    </row>
    <row r="18">
      <c r="A18" s="2" t="inlineStr">
        <is>
          <t>Custos operacionais anuais</t>
        </is>
      </c>
      <c r="B18" s="7" t="n"/>
      <c r="C18" s="7" t="n"/>
      <c r="D18" s="7" t="n"/>
      <c r="E18" s="7" t="n"/>
      <c r="F18" s="7" t="n"/>
      <c r="G18" s="7" t="n"/>
      <c r="H18" s="7" t="n"/>
      <c r="I18" s="7" t="n"/>
    </row>
    <row r="19">
      <c r="A19" s="8" t="inlineStr">
        <is>
          <t>Renda do espaço</t>
        </is>
      </c>
      <c r="B19" s="9" t="inlineStr">
        <is>
          <t>RENDA</t>
        </is>
      </c>
      <c r="C19" s="16" t="n">
        <v>12000</v>
      </c>
      <c r="D19" s="16" t="n">
        <v>14400</v>
      </c>
      <c r="E19" s="16" t="n">
        <v>18000</v>
      </c>
      <c r="F19" s="31" t="inlineStr">
        <is>
          <t>Input cliente 3 — EM FALTA. Baixo/Base = 2 gabinetes; Alto = 3 gabinetes.</t>
        </is>
      </c>
      <c r="G19" s="32" t="inlineStr">
        <is>
          <t>A_VALIDAR</t>
        </is>
      </c>
      <c r="H19" s="30" t="inlineStr">
        <is>
          <t>contrato</t>
        </is>
      </c>
      <c r="I19" s="30" t="inlineStr">
        <is>
          <t>Baixa</t>
        </is>
      </c>
      <c r="J19" s="12" t="n">
        <v>1</v>
      </c>
    </row>
    <row r="20">
      <c r="A20" s="8" t="inlineStr">
        <is>
          <t>Condomínio e encargos do espaço</t>
        </is>
      </c>
      <c r="B20" s="9" t="inlineStr">
        <is>
          <t>CONDOM</t>
        </is>
      </c>
      <c r="C20" s="16" t="n">
        <v>1200</v>
      </c>
      <c r="D20" s="16" t="n">
        <v>1500</v>
      </c>
      <c r="E20" s="16" t="n">
        <v>1800</v>
      </c>
      <c r="F20" s="31" t="inlineStr">
        <is>
          <t>Input cliente 3 — EM FALTA.</t>
        </is>
      </c>
      <c r="G20" s="32" t="inlineStr">
        <is>
          <t>A_VALIDAR</t>
        </is>
      </c>
      <c r="H20" s="30" t="inlineStr">
        <is>
          <t>contrato</t>
        </is>
      </c>
      <c r="I20" s="30" t="inlineStr">
        <is>
          <t>Baixa</t>
        </is>
      </c>
      <c r="J20" s="12" t="n">
        <v>1</v>
      </c>
    </row>
    <row r="21">
      <c r="A21" s="8" t="inlineStr">
        <is>
          <t>Seguros (RC profissional, multirriscos)</t>
        </is>
      </c>
      <c r="B21" s="9" t="inlineStr">
        <is>
          <t>SEGUROS</t>
        </is>
      </c>
      <c r="C21" s="16" t="n">
        <v>900</v>
      </c>
      <c r="D21" s="16" t="n">
        <v>1100</v>
      </c>
      <c r="E21" s="16" t="n">
        <v>1400</v>
      </c>
      <c r="F21" s="17" t="inlineStr">
        <is>
          <t>EM FALTA.</t>
        </is>
      </c>
      <c r="G21" s="30" t="inlineStr">
        <is>
          <t>ESTIMATIVA_VCLEVEL</t>
        </is>
      </c>
      <c r="H21" s="30" t="inlineStr">
        <is>
          <t>VCLevel</t>
        </is>
      </c>
      <c r="I21" s="30" t="inlineStr">
        <is>
          <t>Baixa</t>
        </is>
      </c>
      <c r="J21" s="12" t="n">
        <v>0</v>
      </c>
    </row>
    <row r="22">
      <c r="A22" s="8" t="inlineStr">
        <is>
          <t>Software de gestão e faturação</t>
        </is>
      </c>
      <c r="B22" s="9" t="inlineStr">
        <is>
          <t>SOFTW</t>
        </is>
      </c>
      <c r="C22" s="16" t="n">
        <v>600</v>
      </c>
      <c r="D22" s="16" t="n">
        <v>900</v>
      </c>
      <c r="E22" s="16" t="n">
        <v>1200</v>
      </c>
      <c r="F22" s="17" t="inlineStr">
        <is>
          <t>EM FALTA.</t>
        </is>
      </c>
      <c r="G22" s="30" t="inlineStr">
        <is>
          <t>ESTIMATIVA_VCLEVEL</t>
        </is>
      </c>
      <c r="H22" s="30" t="inlineStr">
        <is>
          <t>VCLevel</t>
        </is>
      </c>
      <c r="I22" s="30" t="inlineStr">
        <is>
          <t>Baixa</t>
        </is>
      </c>
      <c r="J22" s="12" t="n">
        <v>0</v>
      </c>
    </row>
    <row r="23">
      <c r="A23" s="8" t="inlineStr">
        <is>
          <t>Consumíveis clínicos, em % da faturação da estrutura</t>
        </is>
      </c>
      <c r="B23" s="9" t="inlineStr">
        <is>
          <t>PCT_CONSUM</t>
        </is>
      </c>
      <c r="C23" s="13" t="n">
        <v>0.03</v>
      </c>
      <c r="D23" s="13" t="n">
        <v>0.03</v>
      </c>
      <c r="E23" s="13" t="n">
        <v>0.03</v>
      </c>
      <c r="F23" s="17" t="inlineStr">
        <is>
          <t>EM FALTA. Modelado como custo variável, o que é necessário para o break-even operacional.</t>
        </is>
      </c>
      <c r="G23" s="30" t="inlineStr">
        <is>
          <t>ESTIMATIVA_VCLEVEL</t>
        </is>
      </c>
      <c r="H23" s="30" t="inlineStr">
        <is>
          <t>benchmark</t>
        </is>
      </c>
      <c r="I23" s="30" t="inlineStr">
        <is>
          <t>Média</t>
        </is>
      </c>
      <c r="J23" s="12" t="n">
        <v>0</v>
      </c>
    </row>
    <row r="24">
      <c r="A24" s="8" t="inlineStr">
        <is>
          <t>Consumíveis clínicos</t>
        </is>
      </c>
      <c r="B24" s="9" t="inlineStr">
        <is>
          <t>CONSUM</t>
        </is>
      </c>
      <c r="C24" s="28">
        <f>(Inputs!$C$9+IF(Inputs!$C$11=1,Inputs!$C$10,0))*Inputs!$C$23</f>
        <v/>
      </c>
      <c r="D24" s="28">
        <f>(Inputs!$D$9+IF(Inputs!$D$11=1,Inputs!$D$10,0))*Inputs!$D$23</f>
        <v/>
      </c>
      <c r="E24" s="28">
        <f>(Inputs!$E$9+IF(Inputs!$E$11=1,Inputs!$E$10,0))*Inputs!$E$23</f>
        <v/>
      </c>
      <c r="F24" s="17" t="inlineStr">
        <is>
          <t>Custo variável: acompanha as consultas realizadas dentro da estrutura.</t>
        </is>
      </c>
      <c r="G24" s="30" t="inlineStr">
        <is>
          <t>DERIVADO</t>
        </is>
      </c>
      <c r="H24" s="30" t="inlineStr">
        <is>
          <t>modelo</t>
        </is>
      </c>
      <c r="I24" s="30" t="inlineStr">
        <is>
          <t>n/a</t>
        </is>
      </c>
      <c r="J24" s="12" t="n">
        <v>0</v>
      </c>
    </row>
    <row r="25">
      <c r="A25" s="8" t="inlineStr">
        <is>
          <t>Outros custos operacionais</t>
        </is>
      </c>
      <c r="B25" s="9" t="inlineStr">
        <is>
          <t>OUTROS</t>
        </is>
      </c>
      <c r="C25" s="16" t="n">
        <v>1500</v>
      </c>
      <c r="D25" s="16" t="n">
        <v>2000</v>
      </c>
      <c r="E25" s="16" t="n">
        <v>2500</v>
      </c>
      <c r="F25" s="17" t="inlineStr">
        <is>
          <t>EM FALTA.</t>
        </is>
      </c>
      <c r="G25" s="30" t="inlineStr">
        <is>
          <t>ESTIMATIVA_VCLEVEL</t>
        </is>
      </c>
      <c r="H25" s="30" t="inlineStr">
        <is>
          <t>VCLevel</t>
        </is>
      </c>
      <c r="I25" s="30" t="inlineStr">
        <is>
          <t>Baixa</t>
        </is>
      </c>
      <c r="J25" s="12" t="n">
        <v>0</v>
      </c>
    </row>
    <row r="26">
      <c r="A26" s="2" t="inlineStr">
        <is>
          <t>Investimento inicial (valores sem IVA)</t>
        </is>
      </c>
      <c r="B26" s="7" t="n"/>
      <c r="C26" s="7" t="n"/>
      <c r="D26" s="7" t="n"/>
      <c r="E26" s="7" t="n"/>
      <c r="F26" s="7" t="n"/>
      <c r="G26" s="7" t="n"/>
      <c r="H26" s="7" t="n"/>
      <c r="I26" s="7" t="n"/>
    </row>
    <row r="27">
      <c r="A27" s="8" t="inlineStr">
        <is>
          <t>Obras e adaptação do espaço</t>
        </is>
      </c>
      <c r="B27" s="9" t="inlineStr">
        <is>
          <t>INV_OBRAS</t>
        </is>
      </c>
      <c r="C27" s="16" t="n">
        <v>15000</v>
      </c>
      <c r="D27" s="16" t="n">
        <v>25000</v>
      </c>
      <c r="E27" s="16" t="n">
        <v>40000</v>
      </c>
      <c r="F27" s="31" t="inlineStr">
        <is>
          <t>Input cliente 4 — EM FALTA.</t>
        </is>
      </c>
      <c r="G27" s="32" t="inlineStr">
        <is>
          <t>A_VALIDAR</t>
        </is>
      </c>
      <c r="H27" s="30" t="inlineStr">
        <is>
          <t>orçamento</t>
        </is>
      </c>
      <c r="I27" s="30" t="inlineStr">
        <is>
          <t>Baixa</t>
        </is>
      </c>
      <c r="J27" s="12" t="n">
        <v>1</v>
      </c>
    </row>
    <row r="28">
      <c r="A28" s="8" t="inlineStr">
        <is>
          <t>Equipamento clínico à taxa normal</t>
        </is>
      </c>
      <c r="B28" s="9" t="inlineStr">
        <is>
          <t>INV_EQUIP</t>
        </is>
      </c>
      <c r="C28" s="16" t="n">
        <v>12000</v>
      </c>
      <c r="D28" s="16" t="n">
        <v>20000</v>
      </c>
      <c r="E28" s="16" t="n">
        <v>30000</v>
      </c>
      <c r="F28" s="31" t="inlineStr">
        <is>
          <t>Input cliente 4 — EM FALTA.</t>
        </is>
      </c>
      <c r="G28" s="32" t="inlineStr">
        <is>
          <t>A_VALIDAR</t>
        </is>
      </c>
      <c r="H28" s="30" t="inlineStr">
        <is>
          <t>orçamento</t>
        </is>
      </c>
      <c r="I28" s="30" t="inlineStr">
        <is>
          <t>Baixa</t>
        </is>
      </c>
      <c r="J28" s="12" t="n">
        <v>1</v>
      </c>
    </row>
    <row r="29">
      <c r="A29" s="8" t="inlineStr">
        <is>
          <t>Equipamento clínico elegível para taxa reduzida</t>
        </is>
      </c>
      <c r="B29" s="9" t="inlineStr">
        <is>
          <t>INV_EQUIP_R</t>
        </is>
      </c>
      <c r="C29" s="16" t="n">
        <v>0</v>
      </c>
      <c r="D29" s="16" t="n">
        <v>0</v>
      </c>
      <c r="E29" s="16" t="n">
        <v>0</v>
      </c>
      <c r="F29" s="31" t="inlineStr">
        <is>
          <t>A confirmar contra as verbas 2.5 e 2.6 da Lista I do CIVA. Se houver elegibilidade, reduz a base do problema de IVA.</t>
        </is>
      </c>
      <c r="G29" s="32" t="inlineStr">
        <is>
          <t>A_VALIDAR</t>
        </is>
      </c>
      <c r="H29" s="30" t="inlineStr">
        <is>
          <t>legislação</t>
        </is>
      </c>
      <c r="I29" s="30" t="inlineStr">
        <is>
          <t>Baixa</t>
        </is>
      </c>
      <c r="J29" s="12" t="n">
        <v>1</v>
      </c>
    </row>
    <row r="30">
      <c r="A30" s="8" t="inlineStr">
        <is>
          <t>Software e sistemas</t>
        </is>
      </c>
      <c r="B30" s="9" t="inlineStr">
        <is>
          <t>INV_SOFT</t>
        </is>
      </c>
      <c r="C30" s="16" t="n">
        <v>1500</v>
      </c>
      <c r="D30" s="16" t="n">
        <v>2000</v>
      </c>
      <c r="E30" s="16" t="n">
        <v>3000</v>
      </c>
      <c r="F30" s="31" t="inlineStr">
        <is>
          <t>EM FALTA.</t>
        </is>
      </c>
      <c r="G30" s="32" t="inlineStr">
        <is>
          <t>A_VALIDAR</t>
        </is>
      </c>
      <c r="H30" s="30" t="inlineStr">
        <is>
          <t>orçamento</t>
        </is>
      </c>
      <c r="I30" s="30" t="inlineStr">
        <is>
          <t>Baixa</t>
        </is>
      </c>
      <c r="J30" s="12" t="n">
        <v>1</v>
      </c>
    </row>
    <row r="31">
      <c r="A31" s="2" t="inlineStr">
        <is>
          <t>Vias societárias (3 e 4)</t>
        </is>
      </c>
      <c r="B31" s="7" t="n"/>
      <c r="C31" s="7" t="n"/>
      <c r="D31" s="7" t="n"/>
      <c r="E31" s="7" t="n"/>
      <c r="F31" s="7" t="n"/>
      <c r="G31" s="7" t="n"/>
      <c r="H31" s="7" t="n"/>
      <c r="I31" s="7" t="n"/>
    </row>
    <row r="32">
      <c r="A32" s="8" t="inlineStr">
        <is>
          <t>Remuneração anual bruta de gerência</t>
        </is>
      </c>
      <c r="B32" s="9" t="inlineStr">
        <is>
          <t>REM_GER</t>
        </is>
      </c>
      <c r="C32" s="16" t="n">
        <v>14000</v>
      </c>
      <c r="D32" s="16" t="n">
        <v>16800</v>
      </c>
      <c r="E32" s="16" t="n">
        <v>20000</v>
      </c>
      <c r="F32" s="17" t="inlineStr">
        <is>
          <t>Variável de decisão, não dado da cliente. Testar sensibilidade.</t>
        </is>
      </c>
      <c r="G32" s="30" t="inlineStr">
        <is>
          <t>ESTIMATIVA_VCLEVEL</t>
        </is>
      </c>
      <c r="H32" s="30" t="inlineStr">
        <is>
          <t>VCLevel</t>
        </is>
      </c>
      <c r="I32" s="30" t="inlineStr">
        <is>
          <t>Média</t>
        </is>
      </c>
      <c r="J32" s="12" t="n">
        <v>0</v>
      </c>
    </row>
    <row r="33">
      <c r="A33" s="8" t="inlineStr">
        <is>
          <t>Tributações autónomas estimadas (anual)</t>
        </is>
      </c>
      <c r="B33" s="9" t="inlineStr">
        <is>
          <t>TA_EST</t>
        </is>
      </c>
      <c r="C33" s="16" t="n">
        <v>500</v>
      </c>
      <c r="D33" s="16" t="n">
        <v>800</v>
      </c>
      <c r="E33" s="16" t="n">
        <v>1200</v>
      </c>
      <c r="F33" s="17" t="inlineStr">
        <is>
          <t>A quantificar pela Fiscalidade em função de viatura e despesas de representação.</t>
        </is>
      </c>
      <c r="G33" s="30" t="inlineStr">
        <is>
          <t>ESTIMATIVA_VCLEVEL</t>
        </is>
      </c>
      <c r="H33" s="30" t="inlineStr">
        <is>
          <t>VCLevel</t>
        </is>
      </c>
      <c r="I33" s="30" t="inlineStr">
        <is>
          <t>Baixa</t>
        </is>
      </c>
      <c r="J33" s="12" t="n">
        <v>0</v>
      </c>
    </row>
    <row r="34">
      <c r="A34" s="8" t="inlineStr">
        <is>
          <t>Política de distribuição de resultados (% do lucro após imposto)</t>
        </is>
      </c>
      <c r="B34" s="9" t="inlineStr">
        <is>
          <t>POL_DIST</t>
        </is>
      </c>
      <c r="C34" s="13" t="n">
        <v>1</v>
      </c>
      <c r="D34" s="13" t="n">
        <v>1</v>
      </c>
      <c r="E34" s="13" t="n">
        <v>1</v>
      </c>
      <c r="F34" s="31" t="inlineStr">
        <is>
          <t>ALAVANCA. Testar 0% / 50% / 100% — é aqui que se decide se afastar a transparência compensa.</t>
        </is>
      </c>
      <c r="G34" s="32" t="inlineStr">
        <is>
          <t>A_VALIDAR</t>
        </is>
      </c>
      <c r="H34" s="30" t="inlineStr">
        <is>
          <t>cliente</t>
        </is>
      </c>
      <c r="I34" s="30" t="inlineStr">
        <is>
          <t>Baixa</t>
        </is>
      </c>
      <c r="J34" s="12" t="n">
        <v>1</v>
      </c>
    </row>
    <row r="35">
      <c r="A35" s="8" t="inlineStr">
        <is>
          <t>% do capital social detida pelo cônjuge</t>
        </is>
      </c>
      <c r="B35" s="9" t="inlineStr">
        <is>
          <t>PCT_CONJ</t>
        </is>
      </c>
      <c r="C35" s="13" t="n">
        <v>0.26</v>
      </c>
      <c r="D35" s="13" t="n">
        <v>0.26</v>
      </c>
      <c r="E35" s="13" t="n">
        <v>0.26</v>
      </c>
      <c r="F35" s="17" t="inlineStr">
        <is>
          <t>Só via 4. Tem de exceder 25% para afastar o teste de capital do art. 6.º n.º 4 al. b) ii) CIRC. Ver N1.</t>
        </is>
      </c>
      <c r="G35" s="30" t="inlineStr">
        <is>
          <t>ESTIMATIVA_VCLEVEL</t>
        </is>
      </c>
      <c r="H35" s="30" t="inlineStr">
        <is>
          <t>VCLevel</t>
        </is>
      </c>
      <c r="I35" s="30" t="inlineStr">
        <is>
          <t>Média</t>
        </is>
      </c>
      <c r="J35" s="12" t="n">
        <v>0</v>
      </c>
    </row>
    <row r="36">
      <c r="A36" s="2" t="inlineStr">
        <is>
          <t>Agregado familiar (IRS)</t>
        </is>
      </c>
      <c r="B36" s="7" t="n"/>
      <c r="C36" s="7" t="n"/>
      <c r="D36" s="7" t="n"/>
      <c r="E36" s="7" t="n"/>
      <c r="F36" s="7" t="n"/>
      <c r="G36" s="7" t="n"/>
      <c r="H36" s="7" t="n"/>
      <c r="I36" s="7" t="n"/>
    </row>
    <row r="37">
      <c r="A37" s="8" t="inlineStr">
        <is>
          <t>Rendimento anual do cônjuge fora da estrutura (líquido de deduções específicas)</t>
        </is>
      </c>
      <c r="B37" s="9" t="inlineStr">
        <is>
          <t>REND_CONJ</t>
        </is>
      </c>
      <c r="C37" s="16" t="n">
        <v>14000</v>
      </c>
      <c r="D37" s="16" t="n">
        <v>18000</v>
      </c>
      <c r="E37" s="16" t="n">
        <v>22000</v>
      </c>
      <c r="F37" s="31" t="inlineStr">
        <is>
          <t>Input cliente 6 e 7 — EM FALTA.</t>
        </is>
      </c>
      <c r="G37" s="32" t="inlineStr">
        <is>
          <t>A_VALIDAR</t>
        </is>
      </c>
      <c r="H37" s="30" t="inlineStr">
        <is>
          <t>cliente</t>
        </is>
      </c>
      <c r="I37" s="30" t="inlineStr">
        <is>
          <t>Baixa</t>
        </is>
      </c>
      <c r="J37" s="12" t="n">
        <v>1</v>
      </c>
    </row>
    <row r="38">
      <c r="A38" s="8" t="inlineStr">
        <is>
          <t>Opção por tributação conjunta (1 = sim / 0 = não)</t>
        </is>
      </c>
      <c r="B38" s="9" t="inlineStr">
        <is>
          <t>CONJUNTA</t>
        </is>
      </c>
      <c r="C38" s="15" t="n">
        <v>1</v>
      </c>
      <c r="D38" s="15" t="n">
        <v>1</v>
      </c>
      <c r="E38" s="15" t="n">
        <v>1</v>
      </c>
      <c r="F38" s="31" t="inlineStr">
        <is>
          <t>Input cliente 7 — EM FALTA.</t>
        </is>
      </c>
      <c r="G38" s="32" t="inlineStr">
        <is>
          <t>A_VALIDAR</t>
        </is>
      </c>
      <c r="H38" s="30" t="inlineStr">
        <is>
          <t>cliente</t>
        </is>
      </c>
      <c r="I38" s="30" t="inlineStr">
        <is>
          <t>Baixa</t>
        </is>
      </c>
      <c r="J38" s="12" t="n">
        <v>1</v>
      </c>
    </row>
    <row r="39">
      <c r="A39" s="8" t="inlineStr">
        <is>
          <t>N.º de dependentes</t>
        </is>
      </c>
      <c r="B39" s="9" t="inlineStr">
        <is>
          <t>N_DEP</t>
        </is>
      </c>
      <c r="C39" s="15" t="n">
        <v>0</v>
      </c>
      <c r="D39" s="15" t="n">
        <v>0</v>
      </c>
      <c r="E39" s="15" t="n">
        <v>0</v>
      </c>
      <c r="F39" s="31" t="inlineStr">
        <is>
          <t>Input cliente 7 — EM FALTA.</t>
        </is>
      </c>
      <c r="G39" s="32" t="inlineStr">
        <is>
          <t>A_VALIDAR</t>
        </is>
      </c>
      <c r="H39" s="30" t="inlineStr">
        <is>
          <t>cliente</t>
        </is>
      </c>
      <c r="I39" s="30" t="inlineStr">
        <is>
          <t>Baixa</t>
        </is>
      </c>
      <c r="J39" s="12" t="n">
        <v>1</v>
      </c>
    </row>
    <row r="40">
      <c r="A40" s="8" t="inlineStr">
        <is>
          <t>Deduções à coleta estimadas do agregado</t>
        </is>
      </c>
      <c r="B40" s="9" t="inlineStr">
        <is>
          <t>DED_COL</t>
        </is>
      </c>
      <c r="C40" s="16" t="n">
        <v>500</v>
      </c>
      <c r="D40" s="16" t="n">
        <v>500</v>
      </c>
      <c r="E40" s="16" t="n">
        <v>500</v>
      </c>
      <c r="F40" s="17" t="inlineStr">
        <is>
          <t>EM FALTA. Não afeta a comparação entre vias (cancela-se no diferencial), afeta o IRS total.</t>
        </is>
      </c>
      <c r="G40" s="30" t="inlineStr">
        <is>
          <t>ESTIMATIVA_VCLEVEL</t>
        </is>
      </c>
      <c r="H40" s="30" t="inlineStr">
        <is>
          <t>VCLevel</t>
        </is>
      </c>
      <c r="I40" s="30" t="inlineStr">
        <is>
          <t>Baixa</t>
        </is>
      </c>
      <c r="J40" s="12" t="n">
        <v>0</v>
      </c>
    </row>
    <row r="41">
      <c r="A41" s="2" t="inlineStr">
        <is>
          <t>Derivadas — não preencher, calculam-se a partir do modelo de colaboração</t>
        </is>
      </c>
      <c r="B41" s="7" t="n"/>
      <c r="C41" s="7" t="n"/>
      <c r="D41" s="7" t="n"/>
      <c r="E41" s="7" t="n"/>
      <c r="F41" s="7" t="n"/>
    </row>
    <row r="42">
      <c r="A42" s="8" t="inlineStr">
        <is>
          <t>Faturação isenta faturada pela estrutura</t>
        </is>
      </c>
      <c r="B42" s="9" t="inlineStr">
        <is>
          <t>FAT_ISENTA</t>
        </is>
      </c>
      <c r="C42" s="28">
        <f>Inputs!$C$9+IF(Inputs!$C$11=1,Inputs!$C$10,0)</f>
        <v/>
      </c>
      <c r="D42" s="28">
        <f>Inputs!$D$9+IF(Inputs!$D$11=1,Inputs!$D$10,0)</f>
        <v/>
      </c>
      <c r="E42" s="28">
        <f>Inputs!$E$9+IF(Inputs!$E$11=1,Inputs!$E$10,0)</f>
        <v/>
      </c>
      <c r="F42" s="17" t="inlineStr">
        <is>
          <t>No modelo 1 a clínica fatura ao doente a totalidade; no modelo 2 fatura apenas os doentes próprios.</t>
        </is>
      </c>
    </row>
    <row r="43">
      <c r="A43" s="8" t="inlineStr">
        <is>
          <t>Receita de cedência de espaço</t>
        </is>
      </c>
      <c r="B43" s="9" t="inlineStr">
        <is>
          <t>REC_NAOPROF</t>
        </is>
      </c>
      <c r="C43" s="28">
        <f>IF(Inputs!$C$11=2,Inputs!$C$15,0)</f>
        <v/>
      </c>
      <c r="D43" s="28">
        <f>IF(Inputs!$D$11=2,Inputs!$D$15,0)</f>
        <v/>
      </c>
      <c r="E43" s="28">
        <f>IF(Inputs!$E$11=2,Inputs!$E$15,0)</f>
        <v/>
      </c>
      <c r="F43" s="17" t="inlineStr">
        <is>
          <t>Rendimento que NÃO provém de atividade da lista do art. 151.º CIRS. Ver linha PCT_PROF.</t>
        </is>
      </c>
    </row>
    <row r="44">
      <c r="A44" s="8" t="inlineStr">
        <is>
          <t>Custo com os colaboradores</t>
        </is>
      </c>
      <c r="B44" s="9" t="inlineStr">
        <is>
          <t>CUSTO_COLAB</t>
        </is>
      </c>
      <c r="C44" s="28">
        <f>IF(Inputs!$C$11=1,Inputs!$C$13,0)</f>
        <v/>
      </c>
      <c r="D44" s="28">
        <f>IF(Inputs!$D$11=1,Inputs!$D$13,0)</f>
        <v/>
      </c>
      <c r="E44" s="28">
        <f>IF(Inputs!$E$11=1,Inputs!$E$13,0)</f>
        <v/>
      </c>
      <c r="F44" s="17" t="inlineStr"/>
    </row>
    <row r="45">
      <c r="A45" s="22" t="inlineStr">
        <is>
          <t>MARGEM GERADA PELOS COLABORADORES</t>
        </is>
      </c>
      <c r="B45" s="9" t="inlineStr">
        <is>
          <t>MARGEM_COLAB</t>
        </is>
      </c>
      <c r="C45" s="27">
        <f>IF(Inputs!$C$11=1,Inputs!$C$10-Inputs!$C$13,Inputs!$C$15)</f>
        <v/>
      </c>
      <c r="D45" s="27">
        <f>IF(Inputs!$D$11=1,Inputs!$D$10-Inputs!$D$13,Inputs!$D$15)</f>
        <v/>
      </c>
      <c r="E45" s="27">
        <f>IF(Inputs!$E$11=1,Inputs!$E$10-Inputs!$E$13,Inputs!$E$15)</f>
        <v/>
      </c>
      <c r="F45" s="17" t="inlineStr">
        <is>
          <t>Exposição E2.6. É a resposta à pergunta da ata: qual dos dois modelos deixa mais margem. Alternar MOD_COLAB entre 1 e 2 e comparar esta linha.</t>
        </is>
      </c>
    </row>
    <row r="46">
      <c r="A46" s="8" t="inlineStr">
        <is>
          <t>Receita total da estrutura (incl. cônjuge, se aplicável)</t>
        </is>
      </c>
      <c r="B46" s="9" t="inlineStr">
        <is>
          <t>REC_TOTAL</t>
        </is>
      </c>
      <c r="C46" s="28">
        <f>Inputs!$C$42+Inputs!$C$43+Inputs!$C$17</f>
        <v/>
      </c>
      <c r="D46" s="28">
        <f>Inputs!$D$42+Inputs!$D$43+Inputs!$D$17</f>
        <v/>
      </c>
      <c r="E46" s="28">
        <f>Inputs!$E$42+Inputs!$E$43+Inputs!$E$17</f>
        <v/>
      </c>
      <c r="F46" s="17" t="inlineStr"/>
    </row>
    <row r="47">
      <c r="A47" s="8" t="inlineStr">
        <is>
          <t>Receita sujeita a IVA (base do pro rata)</t>
        </is>
      </c>
      <c r="B47" s="9" t="inlineStr">
        <is>
          <t>REC_TRIB</t>
        </is>
      </c>
      <c r="C47" s="28">
        <f>Inputs!$C$17+IF(Inputs!$C$16=1,Inputs!$C$43,0)</f>
        <v/>
      </c>
      <c r="D47" s="28">
        <f>Inputs!$D$17+IF(Inputs!$D$16=1,Inputs!$D$43,0)</f>
        <v/>
      </c>
      <c r="E47" s="28">
        <f>Inputs!$E$17+IF(Inputs!$E$16=1,Inputs!$E$43,0)</f>
        <v/>
      </c>
      <c r="F47" s="17" t="inlineStr">
        <is>
          <t>Depende de N1-04: se a cedência for arrendamento isento, não entra.</t>
        </is>
      </c>
    </row>
    <row r="48">
      <c r="A48" s="22" t="inlineStr">
        <is>
          <t>% de rendimentos provenientes de atividades da lista do art. 151.º CIRS</t>
        </is>
      </c>
      <c r="B48" s="9" t="inlineStr">
        <is>
          <t>PCT_PROF</t>
        </is>
      </c>
      <c r="C48" s="25">
        <f>IF(Inputs!$C$46&lt;=0,0,Inputs!$C$42/Inputs!$C$46)</f>
        <v/>
      </c>
      <c r="D48" s="25">
        <f>IF(Inputs!$D$46&lt;=0,0,Inputs!$D$42/Inputs!$D$46)</f>
        <v/>
      </c>
      <c r="E48" s="25">
        <f>IF(Inputs!$E$46&lt;=0,0,Inputs!$E$42/Inputs!$E$46)</f>
        <v/>
      </c>
      <c r="F48" s="17" t="inlineStr">
        <is>
          <t>Teste de rendimentos do art. 6.º n.º 4 al. b) ii) CIRC. Pressupõe que nem a cedência de espaço nem a atividade do cônjuge constam da lista — o segundo ponto é o R1-14, por verificar.</t>
        </is>
      </c>
    </row>
    <row r="49">
      <c r="A49" s="8" t="inlineStr">
        <is>
          <t>Receita de cedência necessária para FALHAR o teste de rendimentos</t>
        </is>
      </c>
      <c r="B49" s="9" t="inlineStr">
        <is>
          <t>REC_SALA_MIN</t>
        </is>
      </c>
      <c r="C49" s="28">
        <f>Inputs!$C$42*(1-Parametros!$C$49)/Parametros!$C$49</f>
        <v/>
      </c>
      <c r="D49" s="28">
        <f>Inputs!$D$42*(1-Parametros!$C$49)/Parametros!$C$49</f>
        <v/>
      </c>
      <c r="E49" s="28">
        <f>Inputs!$E$42*(1-Parametros!$C$49)/Parametros!$C$49</f>
        <v/>
      </c>
      <c r="F49" s="17" t="inlineStr">
        <is>
          <t>Álgebra do teste: para os rendimentos profissionais descerem a 75% ou menos, a receita não profissional tem de atingir um terço da faturação profissional. Comparar com a linha REC_NAOPROF antes de propor esta via em N1, secção 5.</t>
        </is>
      </c>
    </row>
    <row r="50">
      <c r="A50" s="22" t="inlineStr">
        <is>
          <t>Teste de rendimentos do art. 6.º n.º 4 al. b) ii) CIRC</t>
        </is>
      </c>
      <c r="B50" s="9" t="inlineStr">
        <is>
          <t>TESTE_TF</t>
        </is>
      </c>
      <c r="C50" s="26">
        <f>IF(Inputs!$C$48&gt;Parametros!$C$49,"VERIFICADO — transparência não é afastada por esta via","FALHADO — transparência afastada pelo critério de rendimentos")</f>
        <v/>
      </c>
      <c r="D50" s="26">
        <f>IF(Inputs!$D$48&gt;Parametros!$C$49,"VERIFICADO — transparência não é afastada por esta via","FALHADO — transparência afastada pelo critério de rendimentos")</f>
        <v/>
      </c>
      <c r="E50" s="26">
        <f>IF(Inputs!$E$48&gt;Parametros!$C$49,"VERIFICADO — transparência não é afastada por esta via","FALHADO — transparência afastada pelo critério de rendimentos")</f>
        <v/>
      </c>
      <c r="F50" s="17" t="inlineStr">
        <is>
          <t>N1, secção 5. Falhar este teste afasta o regime sem ceder um único euro de capital ao cônjuge.</t>
        </is>
      </c>
    </row>
    <row r="51"/>
    <row r="52">
      <c r="A52" s="33" t="inlineStr">
        <is>
          <t>Exemplo de preenchimento correto — linha ilustrativa</t>
        </is>
      </c>
    </row>
    <row r="53">
      <c r="A53" s="9" t="inlineStr">
        <is>
          <t>Faturação anual da própria Dra. Júlia</t>
        </is>
      </c>
      <c r="C53" s="34" t="n">
        <v>52000</v>
      </c>
      <c r="D53" s="34" t="n">
        <v>65000</v>
      </c>
      <c r="E53" s="34" t="n">
        <v>85000</v>
      </c>
      <c r="F53" s="9" t="inlineStr">
        <is>
          <t>Formato esperado: valor anual, em euros, sem IVA, número puro sem texto.</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J2"/>
  </mergeCells>
  <dataValidations count="6">
    <dataValidation sqref="C6 D6 E6" showDropDown="0" showInputMessage="0" showErrorMessage="1" allowBlank="0" errorTitle="Valor não permitido" error="Só são admitidos os valores: 1,2" type="list">
      <formula1>"1,2"</formula1>
    </dataValidation>
    <dataValidation sqref="C11 D11 E11" showDropDown="0" showInputMessage="0" showErrorMessage="1" allowBlank="0" errorTitle="Valor não permitido" error="Só são admitidos os valores: 1,2" type="list">
      <formula1>"1,2"</formula1>
    </dataValidation>
    <dataValidation sqref="C16 D16 E16" showDropDown="0" showInputMessage="0" showErrorMessage="1" allowBlank="0" errorTitle="Valor não permitido" error="Só são admitidos os valores: 0,1" type="list">
      <formula1>"0,1"</formula1>
    </dataValidation>
    <dataValidation sqref="C38 D38 E38" showDropDown="0" showInputMessage="0" showErrorMessage="1" allowBlank="0" errorTitle="Valor não permitido" error="Só são admitidos os valores: 0,1" type="list">
      <formula1>"0,1"</formula1>
    </dataValidation>
    <dataValidation sqref="C7 C8 C17 C19 C20 C21 C22 C25 C27 C28 C29 C30 C32 C33 C37 C40 D7 D8 D17 D19 D20 D21 D22 D25 D27 D28 D29 D30 D32 D33 D37 D40 E7 E8 E17 E19 E20 E21 E22 E25 E27 E28 E29 E30 E32 E33 E37 E40" showDropDown="0" showInputMessage="0" showErrorMessage="1" allowBlank="0" errorTitle="Valor inválido" error="Introduza um número. Valores monetários não podem ser negativos." type="decimal" operator="greaterThanOrEqual">
      <formula1>0</formula1>
    </dataValidation>
    <dataValidation sqref="C12 C14 C23 C34 C35 D12 D14 D23 D34 D35 E12 E14 E23 E34 E35" showDropDown="0" showInputMessage="0" showErrorMessage="1" allowBlank="0" errorTitle="Percentagem inválida" error="Introduza a percentagem como fração: 0,25 para 25%." type="decimal" operator="between">
      <formula1>0</formula1>
      <formula2>2</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4" customWidth="1" min="3" max="3"/>
    <col width="14" customWidth="1" min="4" max="4"/>
    <col width="14" customWidth="1" min="5" max="5"/>
    <col width="50" customWidth="1" min="6" max="6"/>
  </cols>
  <sheetData>
    <row r="1">
      <c r="A1" s="1" t="inlineStr">
        <is>
          <t>Via 1 — ENI, regime simplificado (situação atual)</t>
        </is>
      </c>
    </row>
    <row r="2" ht="40" customHeight="1">
      <c r="A2" s="20" t="inlineStr">
        <is>
          <t>Enquadramento atual da cliente (ata, ponto 2). O ponto em teste é o do art. 31.º n.º 13 CIRS: com custos reais elevados, o coeficiente deixa de cobrir as despesas e ainda há acréscimo por insuficiência de justificação.</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Categoria B — regime simplificado</t>
        </is>
      </c>
      <c r="B5" s="7" t="n"/>
      <c r="C5" s="7" t="n"/>
      <c r="D5" s="7" t="n"/>
      <c r="E5" s="7" t="n"/>
      <c r="F5" s="7" t="n"/>
    </row>
    <row r="6">
      <c r="A6" s="8" t="inlineStr">
        <is>
          <t>Faturação isenta (fisioterapia)</t>
        </is>
      </c>
      <c r="B6" s="9" t="inlineStr">
        <is>
          <t>FAT</t>
        </is>
      </c>
      <c r="C6" s="35">
        <f>Inputs!$C$42</f>
        <v/>
      </c>
      <c r="D6" s="35">
        <f>Inputs!$D$42</f>
        <v/>
      </c>
      <c r="E6" s="35">
        <f>Inputs!$E$42</f>
        <v/>
      </c>
      <c r="F6" s="17" t="inlineStr"/>
    </row>
    <row r="7">
      <c r="A7" s="8" t="inlineStr">
        <is>
          <t>Receita de cedência de espaço</t>
        </is>
      </c>
      <c r="B7" s="9" t="inlineStr">
        <is>
          <t>REC_S</t>
        </is>
      </c>
      <c r="C7" s="35">
        <f>Inputs!$C$43</f>
        <v/>
      </c>
      <c r="D7" s="35">
        <f>Inputs!$D$43</f>
        <v/>
      </c>
      <c r="E7" s="35">
        <f>Inputs!$E$43</f>
        <v/>
      </c>
      <c r="F7" s="17" t="inlineStr">
        <is>
          <t>Zero no modelo de prestação de serviços. Ver a alavanca MOD_COLAB na folha Inputs.</t>
        </is>
      </c>
    </row>
    <row r="8">
      <c r="A8" s="22" t="inlineStr">
        <is>
          <t>Rendimento bruto total da categoria B</t>
        </is>
      </c>
      <c r="B8" s="9" t="inlineStr">
        <is>
          <t>RB_TOT</t>
        </is>
      </c>
      <c r="C8" s="27">
        <f>$C$6+$C$7</f>
        <v/>
      </c>
      <c r="D8" s="27">
        <f>$D$6+$D$7</f>
        <v/>
      </c>
      <c r="E8" s="27">
        <f>$E$6+$E$7</f>
        <v/>
      </c>
      <c r="F8" s="17" t="inlineStr"/>
    </row>
    <row r="9">
      <c r="A9" s="8" t="inlineStr">
        <is>
          <t>Coeficiente aplicável à fisioterapia</t>
        </is>
      </c>
      <c r="B9" s="9" t="inlineStr">
        <is>
          <t>COEF</t>
        </is>
      </c>
      <c r="C9" s="36">
        <f>Parametros!$C$24</f>
        <v/>
      </c>
      <c r="D9" s="36">
        <f>Parametros!$C$24</f>
        <v/>
      </c>
      <c r="E9" s="36">
        <f>Parametros!$C$24</f>
        <v/>
      </c>
      <c r="F9" s="17" t="inlineStr">
        <is>
          <t>Art. 31.º n.º 1 al. b) CIRS. Fisioterapeutas constam da tabela do art. 151.º — o coeficiente 0,35 não é aplicável a esta parcela.</t>
        </is>
      </c>
    </row>
    <row r="10">
      <c r="A10" s="8" t="inlineStr">
        <is>
          <t>Coeficiente aplicável à cedência de espaço</t>
        </is>
      </c>
      <c r="B10" s="9" t="inlineStr">
        <is>
          <t>COEF_S</t>
        </is>
      </c>
      <c r="C10" s="36">
        <f>Parametros!$C$31</f>
        <v/>
      </c>
      <c r="D10" s="36">
        <f>Parametros!$C$31</f>
        <v/>
      </c>
      <c r="E10" s="36">
        <f>Parametros!$C$31</f>
        <v/>
      </c>
      <c r="F10" s="17" t="inlineStr">
        <is>
          <t>Coeficiente distinto, e por confirmar (R1-29). Depende de a cedência ser qualificada como prestação de serviços ou como rendimento predial — N1-04.</t>
        </is>
      </c>
    </row>
    <row r="11">
      <c r="A11" s="8" t="inlineStr">
        <is>
          <t>Rendimento tributável pelos coeficientes</t>
        </is>
      </c>
      <c r="B11" s="9" t="inlineStr">
        <is>
          <t>RT_COEF</t>
        </is>
      </c>
      <c r="C11" s="28">
        <f>$C$6*$C$9+$C$7*$C$10</f>
        <v/>
      </c>
      <c r="D11" s="28">
        <f>$D$6*$D$9+$D$7*$D$10</f>
        <v/>
      </c>
      <c r="E11" s="28">
        <f>$E$6*$E$9+$E$7*$E$10</f>
        <v/>
      </c>
      <c r="F11" s="17" t="inlineStr"/>
    </row>
    <row r="12">
      <c r="A12" s="8" t="inlineStr">
        <is>
          <t>Limiar de justificação de despesas (15% do rendimento bruto)</t>
        </is>
      </c>
      <c r="B12" s="9" t="inlineStr">
        <is>
          <t>LIMIAR</t>
        </is>
      </c>
      <c r="C12" s="28">
        <f>$C$8*Parametros!$C$25</f>
        <v/>
      </c>
      <c r="D12" s="28">
        <f>$D$8*Parametros!$C$25</f>
        <v/>
      </c>
      <c r="E12" s="28">
        <f>$E$8*Parametros!$C$25</f>
        <v/>
      </c>
      <c r="F12" s="17" t="inlineStr">
        <is>
          <t>Art. 31.º n.º 13 CIRS.</t>
        </is>
      </c>
    </row>
    <row r="13">
      <c r="A13" s="8" t="inlineStr">
        <is>
          <t>Despesas justificáveis — dedução específica</t>
        </is>
      </c>
      <c r="B13" s="9" t="inlineStr">
        <is>
          <t>D_ESP</t>
        </is>
      </c>
      <c r="C13" s="35">
        <f>Parametros!$C$26</f>
        <v/>
      </c>
      <c r="D13" s="35">
        <f>Parametros!$C$26</f>
        <v/>
      </c>
      <c r="E13" s="35">
        <f>Parametros!$C$26</f>
        <v/>
      </c>
      <c r="F13" s="17" t="inlineStr"/>
    </row>
    <row r="14">
      <c r="A14" s="8" t="inlineStr">
        <is>
          <t>Despesas justificáveis — rendas do imóvel afeto</t>
        </is>
      </c>
      <c r="B14" s="9" t="inlineStr">
        <is>
          <t>D_RENDA</t>
        </is>
      </c>
      <c r="C14" s="35">
        <f>Inputs!$C$19</f>
        <v/>
      </c>
      <c r="D14" s="35">
        <f>Inputs!$D$19</f>
        <v/>
      </c>
      <c r="E14" s="35">
        <f>Inputs!$E$19</f>
        <v/>
      </c>
      <c r="F14" s="17" t="inlineStr">
        <is>
          <t>Art. 31.º n.º 13 al. c) CIRS.</t>
        </is>
      </c>
    </row>
    <row r="15">
      <c r="A15" s="8" t="inlineStr">
        <is>
          <t>Despesas justificáveis — aquisição de bens e serviços</t>
        </is>
      </c>
      <c r="B15" s="9" t="inlineStr">
        <is>
          <t>D_BENS</t>
        </is>
      </c>
      <c r="C15" s="35">
        <f>Inputs!$C$20+Inputs!$C$21+Inputs!$C$22+Inputs!$C$24+Inputs!$C$25+Inputs!$C$44</f>
        <v/>
      </c>
      <c r="D15" s="35">
        <f>Inputs!$D$20+Inputs!$D$21+Inputs!$D$22+Inputs!$D$24+Inputs!$D$25+Inputs!$D$44</f>
        <v/>
      </c>
      <c r="E15" s="35">
        <f>Inputs!$E$20+Inputs!$E$21+Inputs!$E$22+Inputs!$E$24+Inputs!$E$25+Inputs!$E$44</f>
        <v/>
      </c>
      <c r="F15" s="17" t="inlineStr">
        <is>
          <t>Art. 31.º n.º 13 al. e) CIRS. Inclui os honorários, quando o modelo de colaboração for o de prestação de serviços.</t>
        </is>
      </c>
    </row>
    <row r="16">
      <c r="A16" s="8" t="inlineStr">
        <is>
          <t>Despesas justificáveis — aquisições de investimento do ano</t>
        </is>
      </c>
      <c r="B16" s="9" t="inlineStr">
        <is>
          <t>D_INV</t>
        </is>
      </c>
      <c r="C16" s="35">
        <f>Inputs!$C$27+Inputs!$C$28+Inputs!$C$29+Inputs!$C$30</f>
        <v/>
      </c>
      <c r="D16" s="35">
        <f>Inputs!$D$27+Inputs!$D$28+Inputs!$D$29+Inputs!$D$30</f>
        <v/>
      </c>
      <c r="E16" s="35">
        <f>Inputs!$E$27+Inputs!$E$28+Inputs!$E$29+Inputs!$E$30</f>
        <v/>
      </c>
      <c r="F16" s="17" t="inlineStr">
        <is>
          <t>A CONFIRMAR pela Fiscalidade: elegibilidade e grau de afetação das aquisições de investimento para efeitos do art. 31.º n.º 13 al. e). Efeito de ano 1 apenas. Ver R1-08.</t>
        </is>
      </c>
    </row>
    <row r="17">
      <c r="A17" s="22" t="inlineStr">
        <is>
          <t>Total de despesas justificadas</t>
        </is>
      </c>
      <c r="B17" s="9" t="inlineStr">
        <is>
          <t>D_TOT</t>
        </is>
      </c>
      <c r="C17" s="27">
        <f>SUM($C$13:$C$16)</f>
        <v/>
      </c>
      <c r="D17" s="27">
        <f>SUM($D$13:$D$16)</f>
        <v/>
      </c>
      <c r="E17" s="27">
        <f>SUM($E$13:$E$16)</f>
        <v/>
      </c>
      <c r="F17" s="17" t="inlineStr"/>
    </row>
    <row r="18">
      <c r="A18" s="8" t="inlineStr">
        <is>
          <t>Acréscimo por insuficiência de justificação</t>
        </is>
      </c>
      <c r="B18" s="9" t="inlineStr">
        <is>
          <t>ACRESC</t>
        </is>
      </c>
      <c r="C18" s="28">
        <f>MAX(0,$C$12-$C$17)</f>
        <v/>
      </c>
      <c r="D18" s="28">
        <f>MAX(0,$D$12-$D$17)</f>
        <v/>
      </c>
      <c r="E18" s="28">
        <f>MAX(0,$E$12-$E$17)</f>
        <v/>
      </c>
      <c r="F18" s="17" t="inlineStr">
        <is>
          <t>Art. 31.º n.º 13 CIRS: acresce ao rendimento tributável a diferença positiva.</t>
        </is>
      </c>
    </row>
    <row r="19">
      <c r="A19" s="8" t="inlineStr">
        <is>
          <t>Rendimento da categoria B antes da dedução de contribuições</t>
        </is>
      </c>
      <c r="B19" s="9" t="inlineStr">
        <is>
          <t>RB_CATB</t>
        </is>
      </c>
      <c r="C19" s="28">
        <f>$C$11+$C$18</f>
        <v/>
      </c>
      <c r="D19" s="28">
        <f>$D$11+$D$18</f>
        <v/>
      </c>
      <c r="E19" s="28">
        <f>$E$11+$E$18</f>
        <v/>
      </c>
      <c r="F19" s="17" t="inlineStr"/>
    </row>
    <row r="20">
      <c r="A20" s="2" t="inlineStr">
        <is>
          <t>Segurança Social — trabalhador independente</t>
        </is>
      </c>
      <c r="B20" s="7" t="n"/>
      <c r="C20" s="7" t="n"/>
      <c r="D20" s="7" t="n"/>
      <c r="E20" s="7" t="n"/>
      <c r="F20" s="7" t="n"/>
    </row>
    <row r="21">
      <c r="A21" s="8" t="inlineStr">
        <is>
          <t>Rendimento relevante</t>
        </is>
      </c>
      <c r="B21" s="9" t="inlineStr">
        <is>
          <t>SS_REL</t>
        </is>
      </c>
      <c r="C21" s="28">
        <f>$C$8*Parametros!$C$7</f>
        <v/>
      </c>
      <c r="D21" s="28">
        <f>$D$8*Parametros!$C$7</f>
        <v/>
      </c>
      <c r="E21" s="28">
        <f>$E$8*Parametros!$C$7</f>
        <v/>
      </c>
      <c r="F21" s="17" t="inlineStr">
        <is>
          <t>Art. 162.º Cód. Contributivo: 70% do valor das prestações de serviços. A inclusão da receita de cedência de espaço depende de esta ser qualificada como prestação de serviços — N1-04.</t>
        </is>
      </c>
    </row>
    <row r="22">
      <c r="A22" s="8" t="inlineStr">
        <is>
          <t>Base de incidência anual, limitada ao teto</t>
        </is>
      </c>
      <c r="B22" s="9" t="inlineStr">
        <is>
          <t>SS_BASE</t>
        </is>
      </c>
      <c r="C22" s="28">
        <f>MIN($C$21,Parametros!$C$6*Parametros!$C$9*12)</f>
        <v/>
      </c>
      <c r="D22" s="28">
        <f>MIN($D$21,Parametros!$C$6*Parametros!$C$9*12)</f>
        <v/>
      </c>
      <c r="E22" s="28">
        <f>MIN($E$21,Parametros!$C$6*Parametros!$C$9*12)</f>
        <v/>
      </c>
      <c r="F22" s="17" t="inlineStr">
        <is>
          <t>Teto mensal de 12 x IAS.</t>
        </is>
      </c>
    </row>
    <row r="23">
      <c r="A23" s="22" t="inlineStr">
        <is>
          <t>Contribuição anual para a Segurança Social</t>
        </is>
      </c>
      <c r="B23" s="9" t="inlineStr">
        <is>
          <t>SS_CONTR</t>
        </is>
      </c>
      <c r="C23" s="27">
        <f>MAX($C$22*Parametros!$C$8,Parametros!$C$10*12)</f>
        <v/>
      </c>
      <c r="D23" s="27">
        <f>MAX($D$22*Parametros!$C$8,Parametros!$C$10*12)</f>
        <v/>
      </c>
      <c r="E23" s="27">
        <f>MAX($E$22*Parametros!$C$8,Parametros!$C$10*12)</f>
        <v/>
      </c>
      <c r="F23" s="17" t="inlineStr">
        <is>
          <t>Bloco ausente da ata. Na via 1 a base é a faturação bruta, não a margem — é aqui que está o maior diferencial entre as vias.</t>
        </is>
      </c>
    </row>
    <row r="24">
      <c r="A24" s="8" t="inlineStr">
        <is>
          <t>Parte dedutível em IRS</t>
        </is>
      </c>
      <c r="B24" s="9" t="inlineStr">
        <is>
          <t>SS_DED</t>
        </is>
      </c>
      <c r="C24" s="28">
        <f>MAX(0,$C$23-$C$8*Parametros!$C$27)</f>
        <v/>
      </c>
      <c r="D24" s="28">
        <f>MAX(0,$D$23-$D$8*Parametros!$C$27)</f>
        <v/>
      </c>
      <c r="E24" s="28">
        <f>MAX(0,$E$23-$E$8*Parametros!$C$27)</f>
        <v/>
      </c>
      <c r="F24" s="17" t="inlineStr">
        <is>
          <t>Art. 31.º n.º 2 CIRS: dedutível apenas na parte que excede 10% do rendimento bruto.</t>
        </is>
      </c>
    </row>
    <row r="25">
      <c r="A25" s="22" t="inlineStr">
        <is>
          <t>Rendimento líquido da categoria B</t>
        </is>
      </c>
      <c r="B25" s="9" t="inlineStr">
        <is>
          <t>RL_CATB</t>
        </is>
      </c>
      <c r="C25" s="27">
        <f>$C$19-$C$24</f>
        <v/>
      </c>
      <c r="D25" s="27">
        <f>$D$19-$D$24</f>
        <v/>
      </c>
      <c r="E25" s="27">
        <f>$E$19-$E$24</f>
        <v/>
      </c>
      <c r="F25" s="17" t="inlineStr"/>
    </row>
    <row r="26">
      <c r="A26" s="2" t="inlineStr">
        <is>
          <t>IRS do agregado</t>
        </is>
      </c>
      <c r="B26" s="7" t="n"/>
      <c r="C26" s="7" t="n"/>
      <c r="D26" s="7" t="n"/>
      <c r="E26" s="7" t="n"/>
      <c r="F26" s="7" t="n"/>
    </row>
    <row r="27">
      <c r="A27" s="22" t="inlineStr">
        <is>
          <t>Rendimento da sócia sujeito a englobamento</t>
        </is>
      </c>
      <c r="B27" s="9" t="inlineStr">
        <is>
          <t>R_JUL</t>
        </is>
      </c>
      <c r="C27" s="27">
        <f>$C$25</f>
        <v/>
      </c>
      <c r="D27" s="27">
        <f>$D$25</f>
        <v/>
      </c>
      <c r="E27" s="27">
        <f>$E$25</f>
        <v/>
      </c>
      <c r="F27" s="17" t="inlineStr">
        <is>
          <t>Só categoria B. Não há remuneração de gerência nesta via.</t>
        </is>
      </c>
    </row>
    <row r="28">
      <c r="A28" s="8" t="inlineStr">
        <is>
          <t>Rendimento do cônjuge fora da estrutura</t>
        </is>
      </c>
      <c r="B28" s="9" t="inlineStr">
        <is>
          <t>R_CONJ</t>
        </is>
      </c>
      <c r="C28" s="35">
        <f>Inputs!$C$37</f>
        <v/>
      </c>
      <c r="D28" s="35">
        <f>Inputs!$D$37</f>
        <v/>
      </c>
      <c r="E28" s="35">
        <f>Inputs!$E$37</f>
        <v/>
      </c>
      <c r="F28" s="17" t="inlineStr"/>
    </row>
    <row r="29">
      <c r="A29" s="8" t="inlineStr">
        <is>
          <t>Rendimento coletável do agregado — com a atividade</t>
        </is>
      </c>
      <c r="B29" s="9" t="inlineStr">
        <is>
          <t>RC_COM</t>
        </is>
      </c>
      <c r="C29" s="28">
        <f>$C$27+$C$28</f>
        <v/>
      </c>
      <c r="D29" s="28">
        <f>$D$27+$D$28</f>
        <v/>
      </c>
      <c r="E29" s="28">
        <f>$E$27+$E$28</f>
        <v/>
      </c>
      <c r="F29" s="17" t="inlineStr"/>
    </row>
    <row r="30">
      <c r="A30" s="8" t="inlineStr">
        <is>
          <t>Rendimento coletável do agregado — sem a atividade</t>
        </is>
      </c>
      <c r="B30" s="9" t="inlineStr">
        <is>
          <t>RC_SEM</t>
        </is>
      </c>
      <c r="C30" s="28">
        <f>$C$28</f>
        <v/>
      </c>
      <c r="D30" s="28">
        <f>$D$28</f>
        <v/>
      </c>
      <c r="E30" s="28">
        <f>$E$28</f>
        <v/>
      </c>
      <c r="F30" s="17" t="inlineStr">
        <is>
          <t>Contrafactual. O diferencial entre as duas coletas é o IRS realmente imputável à atividade e é o que torna as quatro vias comparáveis.</t>
        </is>
      </c>
    </row>
    <row r="31">
      <c r="A31" s="8" t="inlineStr">
        <is>
          <t>Fator do quociente conjugal</t>
        </is>
      </c>
      <c r="B31" s="9" t="inlineStr">
        <is>
          <t>FATOR</t>
        </is>
      </c>
      <c r="C31" s="24">
        <f>IF(Inputs!$C$38=1,2,1)</f>
        <v/>
      </c>
      <c r="D31" s="24">
        <f>IF(Inputs!$D$38=1,2,1)</f>
        <v/>
      </c>
      <c r="E31" s="24">
        <f>IF(Inputs!$E$38=1,2,1)</f>
        <v/>
      </c>
      <c r="F31" s="17" t="inlineStr">
        <is>
          <t>Art. 69.º CIRS. Isolado numa linha para que as fórmulas de coleta caibam num ecrã.</t>
        </is>
      </c>
    </row>
    <row r="32">
      <c r="A32" s="8" t="inlineStr">
        <is>
          <t>Rendimento coletável ajustado ao quociente — com a atividade</t>
        </is>
      </c>
      <c r="B32" s="9" t="inlineStr">
        <is>
          <t>RCQ_COM</t>
        </is>
      </c>
      <c r="C32" s="28">
        <f>$C$29/$C$31</f>
        <v/>
      </c>
      <c r="D32" s="28">
        <f>$D$29/$D$31</f>
        <v/>
      </c>
      <c r="E32" s="28">
        <f>$E$29/$E$31</f>
        <v/>
      </c>
      <c r="F32" s="17" t="inlineStr"/>
    </row>
    <row r="33">
      <c r="A33" s="8" t="inlineStr">
        <is>
          <t>Rendimento coletável ajustado ao quociente — sem a atividade</t>
        </is>
      </c>
      <c r="B33" s="9" t="inlineStr">
        <is>
          <t>RCQ_SEM</t>
        </is>
      </c>
      <c r="C33" s="28">
        <f>$C$30/$C$31</f>
        <v/>
      </c>
      <c r="D33" s="28">
        <f>$D$30/$D$31</f>
        <v/>
      </c>
      <c r="E33" s="28">
        <f>$E$30/$E$31</f>
        <v/>
      </c>
      <c r="F33" s="17" t="inlineStr"/>
    </row>
    <row r="34">
      <c r="A34" s="8" t="inlineStr">
        <is>
          <t>Coleta com a atividade (incl. taxa adicional de solidariedade)</t>
        </is>
      </c>
      <c r="B34" s="9" t="inlineStr">
        <is>
          <t>COL_COM</t>
        </is>
      </c>
      <c r="C34" s="28">
        <f>$C$31*(SUMPRODUCT(($C$32&gt;Parametros!$B$55:$B$63)*($C$32-Parametros!$B$55:$B$63)*Parametros!$E$55:$E$63)+SUMPRODUCT(($C$32&gt;Parametros!$B$67:$B$68)*($C$32-Parametros!$B$67:$B$68)*Parametros!$E$67:$E$68))</f>
        <v/>
      </c>
      <c r="D34" s="28">
        <f>$D$31*(SUMPRODUCT(($D$32&gt;Parametros!$B$55:$B$63)*($D$32-Parametros!$B$55:$B$63)*Parametros!$E$55:$E$63)+SUMPRODUCT(($D$32&gt;Parametros!$B$67:$B$68)*($D$32-Parametros!$B$67:$B$68)*Parametros!$E$67:$E$68))</f>
        <v/>
      </c>
      <c r="E34" s="28">
        <f>$E$31*(SUMPRODUCT(($E$32&gt;Parametros!$B$55:$B$63)*($E$32-Parametros!$B$55:$B$63)*Parametros!$E$55:$E$63)+SUMPRODUCT(($E$32&gt;Parametros!$B$67:$B$68)*($E$32-Parametros!$B$67:$B$68)*Parametros!$E$67:$E$68))</f>
        <v/>
      </c>
      <c r="F34" s="17" t="inlineStr">
        <is>
          <t>Escalões na folha Parâmetros. Art. 68.º, 68.º-A e 69.º CIRS.</t>
        </is>
      </c>
    </row>
    <row r="35">
      <c r="A35" s="8" t="inlineStr">
        <is>
          <t>Coleta sem a atividade</t>
        </is>
      </c>
      <c r="B35" s="9" t="inlineStr">
        <is>
          <t>COL_SEM</t>
        </is>
      </c>
      <c r="C35" s="28">
        <f>$C$31*(SUMPRODUCT(($C$33&gt;Parametros!$B$55:$B$63)*($C$33-Parametros!$B$55:$B$63)*Parametros!$E$55:$E$63)+SUMPRODUCT(($C$33&gt;Parametros!$B$67:$B$68)*($C$33-Parametros!$B$67:$B$68)*Parametros!$E$67:$E$68))</f>
        <v/>
      </c>
      <c r="D35" s="28">
        <f>$D$31*(SUMPRODUCT(($D$33&gt;Parametros!$B$55:$B$63)*($D$33-Parametros!$B$55:$B$63)*Parametros!$E$55:$E$63)+SUMPRODUCT(($D$33&gt;Parametros!$B$67:$B$68)*($D$33-Parametros!$B$67:$B$68)*Parametros!$E$67:$E$68))</f>
        <v/>
      </c>
      <c r="E35" s="28">
        <f>$E$31*(SUMPRODUCT(($E$33&gt;Parametros!$B$55:$B$63)*($E$33-Parametros!$B$55:$B$63)*Parametros!$E$55:$E$63)+SUMPRODUCT(($E$33&gt;Parametros!$B$67:$B$68)*($E$33-Parametros!$B$67:$B$68)*Parametros!$E$67:$E$68))</f>
        <v/>
      </c>
      <c r="F35" s="17" t="inlineStr"/>
    </row>
    <row r="36">
      <c r="A36" s="22" t="inlineStr">
        <is>
          <t>IRS imputável à atividade</t>
        </is>
      </c>
      <c r="B36" s="9" t="inlineStr">
        <is>
          <t>IRS_ATIV</t>
        </is>
      </c>
      <c r="C36" s="27">
        <f>$C$34-$C$35</f>
        <v/>
      </c>
      <c r="D36" s="27">
        <f>$D$34-$D$35</f>
        <v/>
      </c>
      <c r="E36" s="27">
        <f>$E$34-$E$35</f>
        <v/>
      </c>
      <c r="F36" s="17" t="inlineStr"/>
    </row>
    <row r="37">
      <c r="A37" s="8" t="inlineStr">
        <is>
          <t>IRS total do agregado, após deduções à coleta (memória)</t>
        </is>
      </c>
      <c r="B37" s="9" t="inlineStr">
        <is>
          <t>IRS_TOT</t>
        </is>
      </c>
      <c r="C37" s="28">
        <f>MAX(0,$C$34-Inputs!$C$40)</f>
        <v/>
      </c>
      <c r="D37" s="28">
        <f>MAX(0,$D$34-Inputs!$D$40)</f>
        <v/>
      </c>
      <c r="E37" s="28">
        <f>MAX(0,$E$34-Inputs!$E$40)</f>
        <v/>
      </c>
      <c r="F37" s="17" t="inlineStr">
        <is>
          <t>Não entra na comparação entre vias; serve para o enquadramento do capítulo 3.</t>
        </is>
      </c>
    </row>
    <row r="38">
      <c r="A38" s="2" t="inlineStr">
        <is>
          <t>Resultado</t>
        </is>
      </c>
      <c r="B38" s="7" t="n"/>
      <c r="C38" s="7" t="n"/>
      <c r="D38" s="7" t="n"/>
      <c r="E38" s="7" t="n"/>
      <c r="F38" s="7" t="n"/>
    </row>
    <row r="39">
      <c r="A39" s="22" t="inlineStr">
        <is>
          <t>Caixa gerada pela atividade, antes de impostos e contribuições</t>
        </is>
      </c>
      <c r="B39" s="9" t="inlineStr">
        <is>
          <t>CAIXA</t>
        </is>
      </c>
      <c r="C39" s="27">
        <f>Inputs!$C$42+Inputs!$C$43+Inputs!$C$17-(Inputs!$C$19+Inputs!$C$20+Inputs!$C$21+Inputs!$C$22+Inputs!$C$24+Inputs!$C$25+Inputs!$C$44)</f>
        <v/>
      </c>
      <c r="D39" s="27">
        <f>Inputs!$D$42+Inputs!$D$43+Inputs!$D$17-(Inputs!$D$19+Inputs!$D$20+Inputs!$D$21+Inputs!$D$22+Inputs!$D$24+Inputs!$D$25+Inputs!$D$44)</f>
        <v/>
      </c>
      <c r="E39" s="27">
        <f>Inputs!$E$42+Inputs!$E$43+Inputs!$E$17-(Inputs!$E$19+Inputs!$E$20+Inputs!$E$21+Inputs!$E$22+Inputs!$E$24+Inputs!$E$25+Inputs!$E$44)</f>
        <v/>
      </c>
      <c r="F39" s="17" t="inlineStr">
        <is>
          <t>Caixa gerada pela atividade, igual nas quatro vias por construção. Exclui o investimento inicial, que é um efeito de ano 1 e está isolado na folha IVA e na linha própria abaixo.</t>
        </is>
      </c>
    </row>
    <row r="40">
      <c r="A40" s="22" t="inlineStr">
        <is>
          <t>Total de impostos e contribuições</t>
        </is>
      </c>
      <c r="B40" s="9" t="inlineStr">
        <is>
          <t>CARGA</t>
        </is>
      </c>
      <c r="C40" s="27">
        <f>$C$36+$C$23</f>
        <v/>
      </c>
      <c r="D40" s="27">
        <f>$D$36+$D$23</f>
        <v/>
      </c>
      <c r="E40" s="27">
        <f>$E$36+$E$23</f>
        <v/>
      </c>
      <c r="F40" s="17" t="inlineStr">
        <is>
          <t>IRS imputável à atividade + contribuições para a Segurança Social.</t>
        </is>
      </c>
    </row>
    <row r="41">
      <c r="A41" s="8" t="inlineStr">
        <is>
          <t>Taxa de esforço efetiva sobre a caixa gerada</t>
        </is>
      </c>
      <c r="B41" s="9" t="inlineStr">
        <is>
          <t>TAXA_EF</t>
        </is>
      </c>
      <c r="C41" s="37">
        <f>IF($C$39&lt;=0,0,$C$40/$C$39)</f>
        <v/>
      </c>
      <c r="D41" s="37">
        <f>IF($D$39&lt;=0,0,$D$40/$D$39)</f>
        <v/>
      </c>
      <c r="E41" s="37">
        <f>IF($E$39&lt;=0,0,$E$40/$E$39)</f>
        <v/>
      </c>
      <c r="F41" s="17" t="inlineStr"/>
    </row>
    <row r="42">
      <c r="A42" s="8" t="inlineStr">
        <is>
          <t>Valor retido na sociedade (não disponibilizado à sócia)</t>
        </is>
      </c>
      <c r="B42" s="9" t="inlineStr">
        <is>
          <t>RETIDO</t>
        </is>
      </c>
      <c r="C42" s="28">
        <f>0</f>
        <v/>
      </c>
      <c r="D42" s="28">
        <f>0</f>
        <v/>
      </c>
      <c r="E42" s="28">
        <f>0</f>
        <v/>
      </c>
      <c r="F42" s="17" t="inlineStr"/>
    </row>
    <row r="43">
      <c r="A43" s="8" t="inlineStr">
        <is>
          <t>Valor atribuído ao cônjuge por via de dividendos, líquido</t>
        </is>
      </c>
      <c r="B43" s="9" t="inlineStr">
        <is>
          <t>LIQ_CJ</t>
        </is>
      </c>
      <c r="C43" s="28">
        <f>0</f>
        <v/>
      </c>
      <c r="D43" s="28">
        <f>0</f>
        <v/>
      </c>
      <c r="E43" s="28">
        <f>0</f>
        <v/>
      </c>
      <c r="F43" s="17" t="inlineStr">
        <is>
          <t>Só via 4. É uma transferência real de rendimento dentro do agregado e tem de ser explicitada — não é indiferente à sócia.</t>
        </is>
      </c>
    </row>
    <row r="44">
      <c r="A44" s="22" t="inlineStr">
        <is>
          <t>LÍQUIDO DISPONÍVEL PARA A SÓCIA</t>
        </is>
      </c>
      <c r="B44" s="9" t="inlineStr">
        <is>
          <t>LIQ_SOC</t>
        </is>
      </c>
      <c r="C44" s="27">
        <f>$C$39-$C$40-$C$42-$C$43</f>
        <v/>
      </c>
      <c r="D44" s="27">
        <f>$D$39-$D$40-$D$42-$D$43</f>
        <v/>
      </c>
      <c r="E44" s="27">
        <f>$E$39-$E$40-$E$42-$E$43</f>
        <v/>
      </c>
      <c r="F44" s="17" t="inlineStr"/>
    </row>
    <row r="45">
      <c r="A45" s="22" t="inlineStr">
        <is>
          <t>LÍQUIDO DISPONÍVEL PARA O AGREGADO</t>
        </is>
      </c>
      <c r="B45" s="9" t="inlineStr">
        <is>
          <t>LIQ_AGR</t>
        </is>
      </c>
      <c r="C45" s="27">
        <f>$C$44+$C$43</f>
        <v/>
      </c>
      <c r="D45" s="27">
        <f>$D$44+$D$43</f>
        <v/>
      </c>
      <c r="E45" s="27">
        <f>$E$44+$E$43</f>
        <v/>
      </c>
      <c r="F45" s="17" t="inlineStr"/>
    </row>
    <row r="46">
      <c r="A46" s="8" t="inlineStr">
        <is>
          <t>Memória — investimento e IVA não dedutível suportados no ano 1</t>
        </is>
      </c>
      <c r="B46" s="9" t="inlineStr">
        <is>
          <t>INV_A1</t>
        </is>
      </c>
      <c r="C46" s="28">
        <f>Inputs!$C$27+Inputs!$C$28+Inputs!$C$29+Inputs!$C$30</f>
        <v/>
      </c>
      <c r="D46" s="28">
        <f>Inputs!$D$27+Inputs!$D$28+Inputs!$D$29+Inputs!$D$30</f>
        <v/>
      </c>
      <c r="E46" s="28">
        <f>Inputs!$E$27+Inputs!$E$28+Inputs!$E$29+Inputs!$E$30</f>
        <v/>
      </c>
      <c r="F46" s="17" t="inlineStr">
        <is>
          <t>Excluído da comparação anual acima. Quantificação do IVA na folha IVA.</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4" customWidth="1" min="3" max="3"/>
    <col width="14" customWidth="1" min="4" max="4"/>
    <col width="14" customWidth="1" min="5" max="5"/>
    <col width="50" customWidth="1" min="6" max="6"/>
  </cols>
  <sheetData>
    <row r="1">
      <c r="A1" s="1" t="inlineStr">
        <is>
          <t>Via 2 — ENI com opção por contabilidade organizada</t>
        </is>
      </c>
    </row>
    <row r="2" ht="40" customHeight="1">
      <c r="A2" s="20" t="inlineStr">
        <is>
          <t>Mantém o ENI e passa a deduzir os custos efetivos. Duas consequências que a ata não quantificou: a base de incidência da Segurança Social deixa de ser 70% da faturação e passa a ser o lucro tributável, e a opção vincula por 3 anos.</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Apuramento do lucro tributável</t>
        </is>
      </c>
      <c r="B5" s="7" t="n"/>
      <c r="C5" s="7" t="n"/>
      <c r="D5" s="7" t="n"/>
      <c r="E5" s="7" t="n"/>
      <c r="F5" s="7" t="n"/>
    </row>
    <row r="6">
      <c r="A6" s="8" t="inlineStr">
        <is>
          <t>Receita bruta (fisioterapia + cedência de espaço)</t>
        </is>
      </c>
      <c r="B6" s="9" t="inlineStr">
        <is>
          <t>FAT</t>
        </is>
      </c>
      <c r="C6" s="35">
        <f>Inputs!$C$42+Inputs!$C$43</f>
        <v/>
      </c>
      <c r="D6" s="35">
        <f>Inputs!$D$42+Inputs!$D$43</f>
        <v/>
      </c>
      <c r="E6" s="35">
        <f>Inputs!$E$42+Inputs!$E$43</f>
        <v/>
      </c>
      <c r="F6" s="17" t="inlineStr"/>
    </row>
    <row r="7">
      <c r="A7" s="8" t="inlineStr">
        <is>
          <t>Custos operacionais dedutíveis (excl. honorários)</t>
        </is>
      </c>
      <c r="B7" s="9" t="inlineStr">
        <is>
          <t>C_OP</t>
        </is>
      </c>
      <c r="C7" s="35">
        <f>Inputs!$C$19+Inputs!$C$20+Inputs!$C$21+Inputs!$C$22+Inputs!$C$24+Inputs!$C$25</f>
        <v/>
      </c>
      <c r="D7" s="35">
        <f>Inputs!$D$19+Inputs!$D$20+Inputs!$D$21+Inputs!$D$22+Inputs!$D$24+Inputs!$D$25</f>
        <v/>
      </c>
      <c r="E7" s="35">
        <f>Inputs!$E$19+Inputs!$E$20+Inputs!$E$21+Inputs!$E$22+Inputs!$E$24+Inputs!$E$25</f>
        <v/>
      </c>
      <c r="F7" s="17" t="inlineStr"/>
    </row>
    <row r="8">
      <c r="A8" s="8" t="inlineStr">
        <is>
          <t>Custo com os colaboradores</t>
        </is>
      </c>
      <c r="B8" s="9" t="inlineStr">
        <is>
          <t>C_HON</t>
        </is>
      </c>
      <c r="C8" s="35">
        <f>Inputs!$C$44</f>
        <v/>
      </c>
      <c r="D8" s="35">
        <f>Inputs!$D$44</f>
        <v/>
      </c>
      <c r="E8" s="35">
        <f>Inputs!$E$44</f>
        <v/>
      </c>
      <c r="F8" s="17" t="inlineStr">
        <is>
          <t>Dedutíveis como custo da atividade (ata, ponto 4). Sujeitos ao risco de requalificação tratado na fase 2 do P1.</t>
        </is>
      </c>
    </row>
    <row r="9">
      <c r="A9" s="8" t="inlineStr">
        <is>
          <t>Amortizações do exercício</t>
        </is>
      </c>
      <c r="B9" s="9" t="inlineStr">
        <is>
          <t>AMORT</t>
        </is>
      </c>
      <c r="C9" s="28">
        <f>Inputs!$C$27*Parametros!$C$44+(Inputs!$C$28+Inputs!$C$29)*Parametros!$C$45+Inputs!$C$30*Parametros!$C$46</f>
        <v/>
      </c>
      <c r="D9" s="28">
        <f>Inputs!$D$27*Parametros!$C$44+(Inputs!$D$28+Inputs!$D$29)*Parametros!$C$45+Inputs!$D$30*Parametros!$C$46</f>
        <v/>
      </c>
      <c r="E9" s="28">
        <f>Inputs!$E$27*Parametros!$C$44+(Inputs!$E$28+Inputs!$E$29)*Parametros!$C$45+Inputs!$E$30*Parametros!$C$46</f>
        <v/>
      </c>
      <c r="F9" s="17" t="inlineStr">
        <is>
          <t>Taxas na folha Parâmetros. Obras em imóvel alheio: confirmar se o período do contrato de arrendamento é inferior ao decorrente da taxa.</t>
        </is>
      </c>
    </row>
    <row r="10">
      <c r="A10" s="22" t="inlineStr">
        <is>
          <t>Lucro tributável antes de contribuições</t>
        </is>
      </c>
      <c r="B10" s="9" t="inlineStr">
        <is>
          <t>LT_ANTES</t>
        </is>
      </c>
      <c r="C10" s="27">
        <f>$C$6-$C$7-$C$8-$C$9</f>
        <v/>
      </c>
      <c r="D10" s="27">
        <f>$D$6-$D$7-$D$8-$D$9</f>
        <v/>
      </c>
      <c r="E10" s="27">
        <f>$E$6-$E$7-$E$8-$E$9</f>
        <v/>
      </c>
      <c r="F10" s="17" t="inlineStr"/>
    </row>
    <row r="11">
      <c r="A11" s="2" t="inlineStr">
        <is>
          <t>Segurança Social — trabalhador independente com contabilidade organizada</t>
        </is>
      </c>
      <c r="B11" s="7" t="n"/>
      <c r="C11" s="7" t="n"/>
      <c r="D11" s="7" t="n"/>
      <c r="E11" s="7" t="n"/>
      <c r="F11" s="7" t="n"/>
    </row>
    <row r="12">
      <c r="A12" s="8" t="inlineStr">
        <is>
          <t>Base de incidência anual, limitada ao teto</t>
        </is>
      </c>
      <c r="B12" s="9" t="inlineStr">
        <is>
          <t>SS_BASE</t>
        </is>
      </c>
      <c r="C12" s="28">
        <f>MIN(MAX($C$10,0),Parametros!$C$6*Parametros!$C$9*12)</f>
        <v/>
      </c>
      <c r="D12" s="28">
        <f>MIN(MAX($D$10,0),Parametros!$C$6*Parametros!$C$9*12)</f>
        <v/>
      </c>
      <c r="E12" s="28">
        <f>MIN(MAX($E$10,0),Parametros!$C$6*Parametros!$C$9*12)</f>
        <v/>
      </c>
      <c r="F12" s="17" t="inlineStr">
        <is>
          <t>Art. 162.º n.º 3 Cód. Contributivo: com contabilidade organizada o rendimento relevante é o lucro tributável, não 70% da faturação. CONFIRMAR (R1-12). Modelado em regime de cruzeiro: no primeiro ano a base é a declarada no início de atividade.</t>
        </is>
      </c>
    </row>
    <row r="13">
      <c r="A13" s="22" t="inlineStr">
        <is>
          <t>Contribuição anual para a Segurança Social</t>
        </is>
      </c>
      <c r="B13" s="9" t="inlineStr">
        <is>
          <t>SS_CONTR</t>
        </is>
      </c>
      <c r="C13" s="27">
        <f>MAX($C$12*Parametros!$C$8,Parametros!$C$10*12)</f>
        <v/>
      </c>
      <c r="D13" s="27">
        <f>MAX($D$12*Parametros!$C$8,Parametros!$C$10*12)</f>
        <v/>
      </c>
      <c r="E13" s="27">
        <f>MAX($E$12*Parametros!$C$8,Parametros!$C$10*12)</f>
        <v/>
      </c>
      <c r="F13" s="17" t="inlineStr"/>
    </row>
    <row r="14">
      <c r="A14" s="22" t="inlineStr">
        <is>
          <t>Lucro tributável após dedução das contribuições</t>
        </is>
      </c>
      <c r="B14" s="9" t="inlineStr">
        <is>
          <t>LT</t>
        </is>
      </c>
      <c r="C14" s="27">
        <f>MAX(0,$C$10-$C$13)</f>
        <v/>
      </c>
      <c r="D14" s="27">
        <f>MAX(0,$D$10-$D$13)</f>
        <v/>
      </c>
      <c r="E14" s="27">
        <f>MAX(0,$E$10-$E$13)</f>
        <v/>
      </c>
      <c r="F14" s="17" t="inlineStr">
        <is>
          <t>Contribuições obrigatórias dedutíveis na totalidade nesta via, ao contrário do art. 31.º n.º 2.</t>
        </is>
      </c>
    </row>
    <row r="15">
      <c r="A15" s="2" t="inlineStr">
        <is>
          <t>IRS do agregado</t>
        </is>
      </c>
      <c r="B15" s="7" t="n"/>
      <c r="C15" s="7" t="n"/>
      <c r="D15" s="7" t="n"/>
      <c r="E15" s="7" t="n"/>
      <c r="F15" s="7" t="n"/>
    </row>
    <row r="16">
      <c r="A16" s="22" t="inlineStr">
        <is>
          <t>Rendimento da sócia sujeito a englobamento</t>
        </is>
      </c>
      <c r="B16" s="9" t="inlineStr">
        <is>
          <t>R_JUL</t>
        </is>
      </c>
      <c r="C16" s="27">
        <f>$C$14</f>
        <v/>
      </c>
      <c r="D16" s="27">
        <f>$D$14</f>
        <v/>
      </c>
      <c r="E16" s="27">
        <f>$E$14</f>
        <v/>
      </c>
      <c r="F16" s="17" t="inlineStr">
        <is>
          <t>Lucro tributável real. Não há dedução específica de 4.104 € nesta via.</t>
        </is>
      </c>
    </row>
    <row r="17">
      <c r="A17" s="8" t="inlineStr">
        <is>
          <t>Rendimento do cônjuge fora da estrutura</t>
        </is>
      </c>
      <c r="B17" s="9" t="inlineStr">
        <is>
          <t>R_CONJ</t>
        </is>
      </c>
      <c r="C17" s="35">
        <f>Inputs!$C$37</f>
        <v/>
      </c>
      <c r="D17" s="35">
        <f>Inputs!$D$37</f>
        <v/>
      </c>
      <c r="E17" s="35">
        <f>Inputs!$E$37</f>
        <v/>
      </c>
      <c r="F17" s="17" t="inlineStr"/>
    </row>
    <row r="18">
      <c r="A18" s="8" t="inlineStr">
        <is>
          <t>Rendimento coletável do agregado — com a atividade</t>
        </is>
      </c>
      <c r="B18" s="9" t="inlineStr">
        <is>
          <t>RC_COM</t>
        </is>
      </c>
      <c r="C18" s="28">
        <f>$C$16+$C$17</f>
        <v/>
      </c>
      <c r="D18" s="28">
        <f>$D$16+$D$17</f>
        <v/>
      </c>
      <c r="E18" s="28">
        <f>$E$16+$E$17</f>
        <v/>
      </c>
      <c r="F18" s="17" t="inlineStr"/>
    </row>
    <row r="19">
      <c r="A19" s="8" t="inlineStr">
        <is>
          <t>Rendimento coletável do agregado — sem a atividade</t>
        </is>
      </c>
      <c r="B19" s="9" t="inlineStr">
        <is>
          <t>RC_SEM</t>
        </is>
      </c>
      <c r="C19" s="28">
        <f>$C$17</f>
        <v/>
      </c>
      <c r="D19" s="28">
        <f>$D$17</f>
        <v/>
      </c>
      <c r="E19" s="28">
        <f>$E$17</f>
        <v/>
      </c>
      <c r="F19" s="17" t="inlineStr">
        <is>
          <t>Contrafactual. O diferencial entre as duas coletas é o IRS realmente imputável à atividade e é o que torna as quatro vias comparáveis.</t>
        </is>
      </c>
    </row>
    <row r="20">
      <c r="A20" s="8" t="inlineStr">
        <is>
          <t>Fator do quociente conjugal</t>
        </is>
      </c>
      <c r="B20" s="9" t="inlineStr">
        <is>
          <t>FATOR</t>
        </is>
      </c>
      <c r="C20" s="24">
        <f>IF(Inputs!$C$38=1,2,1)</f>
        <v/>
      </c>
      <c r="D20" s="24">
        <f>IF(Inputs!$D$38=1,2,1)</f>
        <v/>
      </c>
      <c r="E20" s="24">
        <f>IF(Inputs!$E$38=1,2,1)</f>
        <v/>
      </c>
      <c r="F20" s="17" t="inlineStr">
        <is>
          <t>Art. 69.º CIRS. Isolado numa linha para que as fórmulas de coleta caibam num ecrã.</t>
        </is>
      </c>
    </row>
    <row r="21">
      <c r="A21" s="8" t="inlineStr">
        <is>
          <t>Rendimento coletável ajustado ao quociente — com a atividade</t>
        </is>
      </c>
      <c r="B21" s="9" t="inlineStr">
        <is>
          <t>RCQ_COM</t>
        </is>
      </c>
      <c r="C21" s="28">
        <f>$C$18/$C$20</f>
        <v/>
      </c>
      <c r="D21" s="28">
        <f>$D$18/$D$20</f>
        <v/>
      </c>
      <c r="E21" s="28">
        <f>$E$18/$E$20</f>
        <v/>
      </c>
      <c r="F21" s="17" t="inlineStr"/>
    </row>
    <row r="22">
      <c r="A22" s="8" t="inlineStr">
        <is>
          <t>Rendimento coletável ajustado ao quociente — sem a atividade</t>
        </is>
      </c>
      <c r="B22" s="9" t="inlineStr">
        <is>
          <t>RCQ_SEM</t>
        </is>
      </c>
      <c r="C22" s="28">
        <f>$C$19/$C$20</f>
        <v/>
      </c>
      <c r="D22" s="28">
        <f>$D$19/$D$20</f>
        <v/>
      </c>
      <c r="E22" s="28">
        <f>$E$19/$E$20</f>
        <v/>
      </c>
      <c r="F22" s="17" t="inlineStr"/>
    </row>
    <row r="23">
      <c r="A23" s="8" t="inlineStr">
        <is>
          <t>Coleta com a atividade (incl. taxa adicional de solidariedade)</t>
        </is>
      </c>
      <c r="B23" s="9" t="inlineStr">
        <is>
          <t>COL_COM</t>
        </is>
      </c>
      <c r="C23" s="28">
        <f>$C$20*(SUMPRODUCT(($C$21&gt;Parametros!$B$55:$B$63)*($C$21-Parametros!$B$55:$B$63)*Parametros!$E$55:$E$63)+SUMPRODUCT(($C$21&gt;Parametros!$B$67:$B$68)*($C$21-Parametros!$B$67:$B$68)*Parametros!$E$67:$E$68))</f>
        <v/>
      </c>
      <c r="D23" s="28">
        <f>$D$20*(SUMPRODUCT(($D$21&gt;Parametros!$B$55:$B$63)*($D$21-Parametros!$B$55:$B$63)*Parametros!$E$55:$E$63)+SUMPRODUCT(($D$21&gt;Parametros!$B$67:$B$68)*($D$21-Parametros!$B$67:$B$68)*Parametros!$E$67:$E$68))</f>
        <v/>
      </c>
      <c r="E23" s="28">
        <f>$E$20*(SUMPRODUCT(($E$21&gt;Parametros!$B$55:$B$63)*($E$21-Parametros!$B$55:$B$63)*Parametros!$E$55:$E$63)+SUMPRODUCT(($E$21&gt;Parametros!$B$67:$B$68)*($E$21-Parametros!$B$67:$B$68)*Parametros!$E$67:$E$68))</f>
        <v/>
      </c>
      <c r="F23" s="17" t="inlineStr">
        <is>
          <t>Escalões na folha Parâmetros. Art. 68.º, 68.º-A e 69.º CIRS.</t>
        </is>
      </c>
    </row>
    <row r="24">
      <c r="A24" s="8" t="inlineStr">
        <is>
          <t>Coleta sem a atividade</t>
        </is>
      </c>
      <c r="B24" s="9" t="inlineStr">
        <is>
          <t>COL_SEM</t>
        </is>
      </c>
      <c r="C24" s="28">
        <f>$C$20*(SUMPRODUCT(($C$22&gt;Parametros!$B$55:$B$63)*($C$22-Parametros!$B$55:$B$63)*Parametros!$E$55:$E$63)+SUMPRODUCT(($C$22&gt;Parametros!$B$67:$B$68)*($C$22-Parametros!$B$67:$B$68)*Parametros!$E$67:$E$68))</f>
        <v/>
      </c>
      <c r="D24" s="28">
        <f>$D$20*(SUMPRODUCT(($D$22&gt;Parametros!$B$55:$B$63)*($D$22-Parametros!$B$55:$B$63)*Parametros!$E$55:$E$63)+SUMPRODUCT(($D$22&gt;Parametros!$B$67:$B$68)*($D$22-Parametros!$B$67:$B$68)*Parametros!$E$67:$E$68))</f>
        <v/>
      </c>
      <c r="E24" s="28">
        <f>$E$20*(SUMPRODUCT(($E$22&gt;Parametros!$B$55:$B$63)*($E$22-Parametros!$B$55:$B$63)*Parametros!$E$55:$E$63)+SUMPRODUCT(($E$22&gt;Parametros!$B$67:$B$68)*($E$22-Parametros!$B$67:$B$68)*Parametros!$E$67:$E$68))</f>
        <v/>
      </c>
      <c r="F24" s="17" t="inlineStr"/>
    </row>
    <row r="25">
      <c r="A25" s="22" t="inlineStr">
        <is>
          <t>IRS imputável à atividade</t>
        </is>
      </c>
      <c r="B25" s="9" t="inlineStr">
        <is>
          <t>IRS_ATIV</t>
        </is>
      </c>
      <c r="C25" s="27">
        <f>$C$23-$C$24</f>
        <v/>
      </c>
      <c r="D25" s="27">
        <f>$D$23-$D$24</f>
        <v/>
      </c>
      <c r="E25" s="27">
        <f>$E$23-$E$24</f>
        <v/>
      </c>
      <c r="F25" s="17" t="inlineStr"/>
    </row>
    <row r="26">
      <c r="A26" s="8" t="inlineStr">
        <is>
          <t>IRS total do agregado, após deduções à coleta (memória)</t>
        </is>
      </c>
      <c r="B26" s="9" t="inlineStr">
        <is>
          <t>IRS_TOT</t>
        </is>
      </c>
      <c r="C26" s="28">
        <f>MAX(0,$C$23-Inputs!$C$40)</f>
        <v/>
      </c>
      <c r="D26" s="28">
        <f>MAX(0,$D$23-Inputs!$D$40)</f>
        <v/>
      </c>
      <c r="E26" s="28">
        <f>MAX(0,$E$23-Inputs!$E$40)</f>
        <v/>
      </c>
      <c r="F26" s="17" t="inlineStr">
        <is>
          <t>Não entra na comparação entre vias; serve para o enquadramento do capítulo 3.</t>
        </is>
      </c>
    </row>
    <row r="27">
      <c r="A27" s="2" t="inlineStr">
        <is>
          <t>Resultado</t>
        </is>
      </c>
      <c r="B27" s="7" t="n"/>
      <c r="C27" s="7" t="n"/>
      <c r="D27" s="7" t="n"/>
      <c r="E27" s="7" t="n"/>
      <c r="F27" s="7" t="n"/>
    </row>
    <row r="28">
      <c r="A28" s="22" t="inlineStr">
        <is>
          <t>Caixa gerada pela atividade, antes de impostos e contribuições</t>
        </is>
      </c>
      <c r="B28" s="9" t="inlineStr">
        <is>
          <t>CAIXA</t>
        </is>
      </c>
      <c r="C28" s="27">
        <f>Inputs!$C$42+Inputs!$C$43+Inputs!$C$17-(Inputs!$C$19+Inputs!$C$20+Inputs!$C$21+Inputs!$C$22+Inputs!$C$24+Inputs!$C$25+Inputs!$C$44)</f>
        <v/>
      </c>
      <c r="D28" s="27">
        <f>Inputs!$D$42+Inputs!$D$43+Inputs!$D$17-(Inputs!$D$19+Inputs!$D$20+Inputs!$D$21+Inputs!$D$22+Inputs!$D$24+Inputs!$D$25+Inputs!$D$44)</f>
        <v/>
      </c>
      <c r="E28" s="27">
        <f>Inputs!$E$42+Inputs!$E$43+Inputs!$E$17-(Inputs!$E$19+Inputs!$E$20+Inputs!$E$21+Inputs!$E$22+Inputs!$E$24+Inputs!$E$25+Inputs!$E$44)</f>
        <v/>
      </c>
      <c r="F28" s="17" t="inlineStr">
        <is>
          <t>Caixa gerada pela atividade, igual nas quatro vias por construção. Exclui o investimento inicial, que é um efeito de ano 1 e está isolado na folha IVA e na linha própria abaixo.</t>
        </is>
      </c>
    </row>
    <row r="29">
      <c r="A29" s="22" t="inlineStr">
        <is>
          <t>Total de impostos e contribuições</t>
        </is>
      </c>
      <c r="B29" s="9" t="inlineStr">
        <is>
          <t>CARGA</t>
        </is>
      </c>
      <c r="C29" s="27">
        <f>$C$25+$C$13</f>
        <v/>
      </c>
      <c r="D29" s="27">
        <f>$D$25+$D$13</f>
        <v/>
      </c>
      <c r="E29" s="27">
        <f>$E$25+$E$13</f>
        <v/>
      </c>
      <c r="F29" s="17" t="inlineStr">
        <is>
          <t>IRS imputável à atividade + contribuições para a Segurança Social.</t>
        </is>
      </c>
    </row>
    <row r="30">
      <c r="A30" s="8" t="inlineStr">
        <is>
          <t>Taxa de esforço efetiva sobre a caixa gerada</t>
        </is>
      </c>
      <c r="B30" s="9" t="inlineStr">
        <is>
          <t>TAXA_EF</t>
        </is>
      </c>
      <c r="C30" s="37">
        <f>IF($C$28&lt;=0,0,$C$29/$C$28)</f>
        <v/>
      </c>
      <c r="D30" s="37">
        <f>IF($D$28&lt;=0,0,$D$29/$D$28)</f>
        <v/>
      </c>
      <c r="E30" s="37">
        <f>IF($E$28&lt;=0,0,$E$29/$E$28)</f>
        <v/>
      </c>
      <c r="F30" s="17" t="inlineStr"/>
    </row>
    <row r="31">
      <c r="A31" s="8" t="inlineStr">
        <is>
          <t>Valor retido na sociedade (não disponibilizado à sócia)</t>
        </is>
      </c>
      <c r="B31" s="9" t="inlineStr">
        <is>
          <t>RETIDO</t>
        </is>
      </c>
      <c r="C31" s="28">
        <f>0</f>
        <v/>
      </c>
      <c r="D31" s="28">
        <f>0</f>
        <v/>
      </c>
      <c r="E31" s="28">
        <f>0</f>
        <v/>
      </c>
      <c r="F31" s="17" t="inlineStr"/>
    </row>
    <row r="32">
      <c r="A32" s="8" t="inlineStr">
        <is>
          <t>Valor atribuído ao cônjuge por via de dividendos, líquido</t>
        </is>
      </c>
      <c r="B32" s="9" t="inlineStr">
        <is>
          <t>LIQ_CJ</t>
        </is>
      </c>
      <c r="C32" s="28">
        <f>0</f>
        <v/>
      </c>
      <c r="D32" s="28">
        <f>0</f>
        <v/>
      </c>
      <c r="E32" s="28">
        <f>0</f>
        <v/>
      </c>
      <c r="F32" s="17" t="inlineStr">
        <is>
          <t>Só via 4. É uma transferência real de rendimento dentro do agregado e tem de ser explicitada — não é indiferente à sócia.</t>
        </is>
      </c>
    </row>
    <row r="33">
      <c r="A33" s="22" t="inlineStr">
        <is>
          <t>LÍQUIDO DISPONÍVEL PARA A SÓCIA</t>
        </is>
      </c>
      <c r="B33" s="9" t="inlineStr">
        <is>
          <t>LIQ_SOC</t>
        </is>
      </c>
      <c r="C33" s="27">
        <f>$C$28-$C$29-$C$31-$C$32</f>
        <v/>
      </c>
      <c r="D33" s="27">
        <f>$D$28-$D$29-$D$31-$D$32</f>
        <v/>
      </c>
      <c r="E33" s="27">
        <f>$E$28-$E$29-$E$31-$E$32</f>
        <v/>
      </c>
      <c r="F33" s="17" t="inlineStr"/>
    </row>
    <row r="34">
      <c r="A34" s="22" t="inlineStr">
        <is>
          <t>LÍQUIDO DISPONÍVEL PARA O AGREGADO</t>
        </is>
      </c>
      <c r="B34" s="9" t="inlineStr">
        <is>
          <t>LIQ_AGR</t>
        </is>
      </c>
      <c r="C34" s="27">
        <f>$C$33+$C$32</f>
        <v/>
      </c>
      <c r="D34" s="27">
        <f>$D$33+$D$32</f>
        <v/>
      </c>
      <c r="E34" s="27">
        <f>$E$33+$E$32</f>
        <v/>
      </c>
      <c r="F34" s="17" t="inlineStr"/>
    </row>
    <row r="35">
      <c r="A35" s="8" t="inlineStr">
        <is>
          <t>Memória — investimento e IVA não dedutível suportados no ano 1</t>
        </is>
      </c>
      <c r="B35" s="9" t="inlineStr">
        <is>
          <t>INV_A1</t>
        </is>
      </c>
      <c r="C35" s="28">
        <f>Inputs!$C$27+Inputs!$C$28+Inputs!$C$29+Inputs!$C$30</f>
        <v/>
      </c>
      <c r="D35" s="28">
        <f>Inputs!$D$27+Inputs!$D$28+Inputs!$D$29+Inputs!$D$30</f>
        <v/>
      </c>
      <c r="E35" s="28">
        <f>Inputs!$E$27+Inputs!$E$28+Inputs!$E$29+Inputs!$E$30</f>
        <v/>
      </c>
      <c r="F35" s="17" t="inlineStr">
        <is>
          <t>Excluído da comparação anual acima. Quantificação do IVA na folha IVA.</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4" customWidth="1" min="3" max="3"/>
    <col width="14" customWidth="1" min="4" max="4"/>
    <col width="14" customWidth="1" min="5" max="5"/>
    <col width="50" customWidth="1" min="6" max="6"/>
  </cols>
  <sheetData>
    <row r="1">
      <c r="A1" s="1" t="inlineStr">
        <is>
          <t>Via 3 — Sociedade sujeita a transparência fiscal (art. 6.º CIRC)</t>
        </is>
      </c>
    </row>
    <row r="2" ht="40" customHeight="1">
      <c r="A2" s="20" t="inlineStr">
        <is>
          <t>Sociedade detida a 100% pela Dra. Júlia. O lucro é imputado à sócia e tributado em IRS independentemente de distribuição (art. 6.º n.º 3 CIRC e art. 20.º CIRS). A sociedade não é tributada em IRC sobre o lucro, mas mantém-se sujeita a tributações autónomas (art. 12.º CIRC).</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Apuramento ao nível da sociedade</t>
        </is>
      </c>
      <c r="B5" s="7" t="n"/>
      <c r="C5" s="7" t="n"/>
      <c r="D5" s="7" t="n"/>
      <c r="E5" s="7" t="n"/>
      <c r="F5" s="7" t="n"/>
    </row>
    <row r="6">
      <c r="A6" s="8" t="inlineStr">
        <is>
          <t>Receita bruta (fisioterapia + cedência de espaço)</t>
        </is>
      </c>
      <c r="B6" s="9" t="inlineStr">
        <is>
          <t>FAT</t>
        </is>
      </c>
      <c r="C6" s="35">
        <f>Inputs!$C$42+Inputs!$C$43</f>
        <v/>
      </c>
      <c r="D6" s="35">
        <f>Inputs!$D$42+Inputs!$D$43</f>
        <v/>
      </c>
      <c r="E6" s="35">
        <f>Inputs!$E$42+Inputs!$E$43</f>
        <v/>
      </c>
      <c r="F6" s="17" t="inlineStr"/>
    </row>
    <row r="7">
      <c r="A7" s="8" t="inlineStr">
        <is>
          <t>Custos operacionais (excl. honorários)</t>
        </is>
      </c>
      <c r="B7" s="9" t="inlineStr">
        <is>
          <t>C_OP</t>
        </is>
      </c>
      <c r="C7" s="35">
        <f>Inputs!$C$19+Inputs!$C$20+Inputs!$C$21+Inputs!$C$22+Inputs!$C$24+Inputs!$C$25</f>
        <v/>
      </c>
      <c r="D7" s="35">
        <f>Inputs!$D$19+Inputs!$D$20+Inputs!$D$21+Inputs!$D$22+Inputs!$D$24+Inputs!$D$25</f>
        <v/>
      </c>
      <c r="E7" s="35">
        <f>Inputs!$E$19+Inputs!$E$20+Inputs!$E$21+Inputs!$E$22+Inputs!$E$24+Inputs!$E$25</f>
        <v/>
      </c>
      <c r="F7" s="17" t="inlineStr"/>
    </row>
    <row r="8">
      <c r="A8" s="8" t="inlineStr">
        <is>
          <t>Custo com os colaboradores</t>
        </is>
      </c>
      <c r="B8" s="9" t="inlineStr">
        <is>
          <t>C_HON</t>
        </is>
      </c>
      <c r="C8" s="35">
        <f>Inputs!$C$44</f>
        <v/>
      </c>
      <c r="D8" s="35">
        <f>Inputs!$D$44</f>
        <v/>
      </c>
      <c r="E8" s="35">
        <f>Inputs!$E$44</f>
        <v/>
      </c>
      <c r="F8" s="17" t="inlineStr"/>
    </row>
    <row r="9">
      <c r="A9" s="8" t="inlineStr">
        <is>
          <t>Amortizações do exercício</t>
        </is>
      </c>
      <c r="B9" s="9" t="inlineStr">
        <is>
          <t>AMORT</t>
        </is>
      </c>
      <c r="C9" s="28">
        <f>Inputs!$C$27*Parametros!$C$44+(Inputs!$C$28+Inputs!$C$29)*Parametros!$C$45+Inputs!$C$30*Parametros!$C$46</f>
        <v/>
      </c>
      <c r="D9" s="28">
        <f>Inputs!$D$27*Parametros!$C$44+(Inputs!$D$28+Inputs!$D$29)*Parametros!$C$45+Inputs!$D$30*Parametros!$C$46</f>
        <v/>
      </c>
      <c r="E9" s="28">
        <f>Inputs!$E$27*Parametros!$C$44+(Inputs!$E$28+Inputs!$E$29)*Parametros!$C$45+Inputs!$E$30*Parametros!$C$46</f>
        <v/>
      </c>
      <c r="F9" s="17" t="inlineStr"/>
    </row>
    <row r="10">
      <c r="A10" s="8" t="inlineStr">
        <is>
          <t>Remuneração bruta de gerência</t>
        </is>
      </c>
      <c r="B10" s="9" t="inlineStr">
        <is>
          <t>REM</t>
        </is>
      </c>
      <c r="C10" s="35">
        <f>Inputs!$C$32</f>
        <v/>
      </c>
      <c r="D10" s="35">
        <f>Inputs!$D$32</f>
        <v/>
      </c>
      <c r="E10" s="35">
        <f>Inputs!$E$32</f>
        <v/>
      </c>
      <c r="F10" s="17" t="inlineStr">
        <is>
          <t>Variável de decisão. É a única base de incidência contributiva nesta via.</t>
        </is>
      </c>
    </row>
    <row r="11">
      <c r="A11" s="8" t="inlineStr">
        <is>
          <t>Base de incidência contributiva do MOE</t>
        </is>
      </c>
      <c r="B11" s="9" t="inlineStr">
        <is>
          <t>BASE_MOE</t>
        </is>
      </c>
      <c r="C11" s="28">
        <f>MAX($C$10,Parametros!$C$6*Parametros!$C$13*12)</f>
        <v/>
      </c>
      <c r="D11" s="28">
        <f>MAX($D$10,Parametros!$C$6*Parametros!$C$13*12)</f>
        <v/>
      </c>
      <c r="E11" s="28">
        <f>MAX($E$10,Parametros!$C$6*Parametros!$C$13*12)</f>
        <v/>
      </c>
      <c r="F11" s="17" t="inlineStr">
        <is>
          <t>Base mínima de 1 x IAS por mês, mesmo com remuneração inferior ou nula.</t>
        </is>
      </c>
    </row>
    <row r="12">
      <c r="A12" s="8" t="inlineStr">
        <is>
          <t>Contribuições a cargo da sociedade</t>
        </is>
      </c>
      <c r="B12" s="9" t="inlineStr">
        <is>
          <t>TSU_ENT</t>
        </is>
      </c>
      <c r="C12" s="28">
        <f>$C$11*Parametros!$C$11</f>
        <v/>
      </c>
      <c r="D12" s="28">
        <f>$D$11*Parametros!$C$11</f>
        <v/>
      </c>
      <c r="E12" s="28">
        <f>$E$11*Parametros!$C$11</f>
        <v/>
      </c>
      <c r="F12" s="17" t="inlineStr"/>
    </row>
    <row r="13">
      <c r="A13" s="22" t="inlineStr">
        <is>
          <t>Lucro tributável</t>
        </is>
      </c>
      <c r="B13" s="9" t="inlineStr">
        <is>
          <t>LT</t>
        </is>
      </c>
      <c r="C13" s="27">
        <f>$C$6-$C$7-$C$8-$C$9-$C$10-$C$12</f>
        <v/>
      </c>
      <c r="D13" s="27">
        <f>$D$6-$D$7-$D$8-$D$9-$D$10-$D$12</f>
        <v/>
      </c>
      <c r="E13" s="27">
        <f>$E$6-$E$7-$E$8-$E$9-$E$10-$E$12</f>
        <v/>
      </c>
      <c r="F13" s="17" t="inlineStr"/>
    </row>
    <row r="14">
      <c r="A14" s="8" t="inlineStr">
        <is>
          <t>Tributações autónomas</t>
        </is>
      </c>
      <c r="B14" s="9" t="inlineStr">
        <is>
          <t>TA</t>
        </is>
      </c>
      <c r="C14" s="35">
        <f>Inputs!$C$33</f>
        <v/>
      </c>
      <c r="D14" s="35">
        <f>Inputs!$D$33</f>
        <v/>
      </c>
      <c r="E14" s="35">
        <f>Inputs!$E$33</f>
        <v/>
      </c>
      <c r="F14" s="17" t="inlineStr">
        <is>
          <t>Devidas apesar da transparência fiscal — art. 12.º CIRC ressalva as tributações autónomas.</t>
        </is>
      </c>
    </row>
    <row r="15">
      <c r="A15" s="8" t="inlineStr">
        <is>
          <t>Derrama municipal</t>
        </is>
      </c>
      <c r="B15" s="9" t="inlineStr">
        <is>
          <t>DERR</t>
        </is>
      </c>
      <c r="C15" s="28">
        <f>MAX($C$13,0)*Parametros!$C$36*Parametros!$C$37</f>
        <v/>
      </c>
      <c r="D15" s="28">
        <f>MAX($D$13,0)*Parametros!$C$36*Parametros!$C$37</f>
        <v/>
      </c>
      <c r="E15" s="28">
        <f>MAX($E$13,0)*Parametros!$C$36*Parametros!$C$37</f>
        <v/>
      </c>
      <c r="F15" s="17" t="inlineStr">
        <is>
          <t>Interruptor na folha Parâmetros, por defeito a 0. A incidência de derrama sobre sociedade transparente é questão controvertida — ver R1-13. Não afirmar no relatório sem decisão da Fiscalidade.</t>
        </is>
      </c>
    </row>
    <row r="16">
      <c r="A16" s="22" t="inlineStr">
        <is>
          <t>Lucro imputável à sócia</t>
        </is>
      </c>
      <c r="B16" s="9" t="inlineStr">
        <is>
          <t>LUCRO_IMP</t>
        </is>
      </c>
      <c r="C16" s="27">
        <f>MAX($C$13,0)</f>
        <v/>
      </c>
      <c r="D16" s="27">
        <f>MAX($D$13,0)</f>
        <v/>
      </c>
      <c r="E16" s="27">
        <f>MAX($E$13,0)</f>
        <v/>
      </c>
      <c r="F16" s="17" t="inlineStr">
        <is>
          <t>Imputado independentemente de distribuição. Prejuízo fiscal não é imputado — é reportado na esfera da sociedade.</t>
        </is>
      </c>
    </row>
    <row r="17">
      <c r="A17" s="2" t="inlineStr">
        <is>
          <t>Esfera da sócia</t>
        </is>
      </c>
      <c r="B17" s="7" t="n"/>
      <c r="C17" s="7" t="n"/>
      <c r="D17" s="7" t="n"/>
      <c r="E17" s="7" t="n"/>
      <c r="F17" s="7" t="n"/>
    </row>
    <row r="18">
      <c r="A18" s="8" t="inlineStr">
        <is>
          <t>Contribuições a cargo da sócia (categoria A)</t>
        </is>
      </c>
      <c r="B18" s="9" t="inlineStr">
        <is>
          <t>SS_TRAB</t>
        </is>
      </c>
      <c r="C18" s="28">
        <f>$C$11*Parametros!$C$12</f>
        <v/>
      </c>
      <c r="D18" s="28">
        <f>$D$11*Parametros!$C$12</f>
        <v/>
      </c>
      <c r="E18" s="28">
        <f>$E$11*Parametros!$C$12</f>
        <v/>
      </c>
      <c r="F18" s="17" t="inlineStr"/>
    </row>
    <row r="19">
      <c r="A19" s="8" t="inlineStr">
        <is>
          <t>Dedução específica da categoria A</t>
        </is>
      </c>
      <c r="B19" s="9" t="inlineStr">
        <is>
          <t>DED_A</t>
        </is>
      </c>
      <c r="C19" s="28">
        <f>MIN($C$10,MAX(Parametros!$C$30,$C$18))</f>
        <v/>
      </c>
      <c r="D19" s="28">
        <f>MIN($D$10,MAX(Parametros!$C$30,$D$18))</f>
        <v/>
      </c>
      <c r="E19" s="28">
        <f>MIN($E$10,MAX(Parametros!$C$30,$E$18))</f>
        <v/>
      </c>
      <c r="F19" s="17" t="inlineStr">
        <is>
          <t>Art. 25.º n.º 1 al. a) e n.º 2 CIRS: o maior entre 4.104 € e as contribuições, com o limite do próprio rendimento.</t>
        </is>
      </c>
    </row>
    <row r="20">
      <c r="A20" s="8" t="inlineStr">
        <is>
          <t>Rendimento líquido da categoria A</t>
        </is>
      </c>
      <c r="B20" s="9" t="inlineStr">
        <is>
          <t>RL_CATA</t>
        </is>
      </c>
      <c r="C20" s="28">
        <f>MAX(0,$C$10-$C$19)</f>
        <v/>
      </c>
      <c r="D20" s="28">
        <f>MAX(0,$D$10-$D$19)</f>
        <v/>
      </c>
      <c r="E20" s="28">
        <f>MAX(0,$E$10-$E$19)</f>
        <v/>
      </c>
      <c r="F20" s="17" t="inlineStr"/>
    </row>
    <row r="21">
      <c r="A21" s="2" t="inlineStr">
        <is>
          <t>IRS do agregado</t>
        </is>
      </c>
      <c r="B21" s="7" t="n"/>
      <c r="C21" s="7" t="n"/>
      <c r="D21" s="7" t="n"/>
      <c r="E21" s="7" t="n"/>
      <c r="F21" s="7" t="n"/>
    </row>
    <row r="22">
      <c r="A22" s="22" t="inlineStr">
        <is>
          <t>Rendimento da sócia sujeito a englobamento</t>
        </is>
      </c>
      <c r="B22" s="9" t="inlineStr">
        <is>
          <t>R_JUL</t>
        </is>
      </c>
      <c r="C22" s="27">
        <f>$C$20+$C$16</f>
        <v/>
      </c>
      <c r="D22" s="27">
        <f>$D$20+$D$16</f>
        <v/>
      </c>
      <c r="E22" s="27">
        <f>$E$20+$E$16</f>
        <v/>
      </c>
      <c r="F22" s="17" t="inlineStr">
        <is>
          <t>Categoria A (remuneração de gerência) + categoria B (lucro imputado, art. 20.º CIRS).</t>
        </is>
      </c>
    </row>
    <row r="23">
      <c r="A23" s="8" t="inlineStr">
        <is>
          <t>Rendimento do cônjuge fora da estrutura</t>
        </is>
      </c>
      <c r="B23" s="9" t="inlineStr">
        <is>
          <t>R_CONJ</t>
        </is>
      </c>
      <c r="C23" s="35">
        <f>Inputs!$C$37</f>
        <v/>
      </c>
      <c r="D23" s="35">
        <f>Inputs!$D$37</f>
        <v/>
      </c>
      <c r="E23" s="35">
        <f>Inputs!$E$37</f>
        <v/>
      </c>
      <c r="F23" s="17" t="inlineStr"/>
    </row>
    <row r="24">
      <c r="A24" s="8" t="inlineStr">
        <is>
          <t>Rendimento coletável do agregado — com a atividade</t>
        </is>
      </c>
      <c r="B24" s="9" t="inlineStr">
        <is>
          <t>RC_COM</t>
        </is>
      </c>
      <c r="C24" s="28">
        <f>$C$22+$C$23</f>
        <v/>
      </c>
      <c r="D24" s="28">
        <f>$D$22+$D$23</f>
        <v/>
      </c>
      <c r="E24" s="28">
        <f>$E$22+$E$23</f>
        <v/>
      </c>
      <c r="F24" s="17" t="inlineStr"/>
    </row>
    <row r="25">
      <c r="A25" s="8" t="inlineStr">
        <is>
          <t>Rendimento coletável do agregado — sem a atividade</t>
        </is>
      </c>
      <c r="B25" s="9" t="inlineStr">
        <is>
          <t>RC_SEM</t>
        </is>
      </c>
      <c r="C25" s="28">
        <f>$C$23</f>
        <v/>
      </c>
      <c r="D25" s="28">
        <f>$D$23</f>
        <v/>
      </c>
      <c r="E25" s="28">
        <f>$E$23</f>
        <v/>
      </c>
      <c r="F25" s="17" t="inlineStr">
        <is>
          <t>Contrafactual. O diferencial entre as duas coletas é o IRS realmente imputável à atividade e é o que torna as quatro vias comparáveis.</t>
        </is>
      </c>
    </row>
    <row r="26">
      <c r="A26" s="8" t="inlineStr">
        <is>
          <t>Fator do quociente conjugal</t>
        </is>
      </c>
      <c r="B26" s="9" t="inlineStr">
        <is>
          <t>FATOR</t>
        </is>
      </c>
      <c r="C26" s="24">
        <f>IF(Inputs!$C$38=1,2,1)</f>
        <v/>
      </c>
      <c r="D26" s="24">
        <f>IF(Inputs!$D$38=1,2,1)</f>
        <v/>
      </c>
      <c r="E26" s="24">
        <f>IF(Inputs!$E$38=1,2,1)</f>
        <v/>
      </c>
      <c r="F26" s="17" t="inlineStr">
        <is>
          <t>Art. 69.º CIRS. Isolado numa linha para que as fórmulas de coleta caibam num ecrã.</t>
        </is>
      </c>
    </row>
    <row r="27">
      <c r="A27" s="8" t="inlineStr">
        <is>
          <t>Rendimento coletável ajustado ao quociente — com a atividade</t>
        </is>
      </c>
      <c r="B27" s="9" t="inlineStr">
        <is>
          <t>RCQ_COM</t>
        </is>
      </c>
      <c r="C27" s="28">
        <f>$C$24/$C$26</f>
        <v/>
      </c>
      <c r="D27" s="28">
        <f>$D$24/$D$26</f>
        <v/>
      </c>
      <c r="E27" s="28">
        <f>$E$24/$E$26</f>
        <v/>
      </c>
      <c r="F27" s="17" t="inlineStr"/>
    </row>
    <row r="28">
      <c r="A28" s="8" t="inlineStr">
        <is>
          <t>Rendimento coletável ajustado ao quociente — sem a atividade</t>
        </is>
      </c>
      <c r="B28" s="9" t="inlineStr">
        <is>
          <t>RCQ_SEM</t>
        </is>
      </c>
      <c r="C28" s="28">
        <f>$C$25/$C$26</f>
        <v/>
      </c>
      <c r="D28" s="28">
        <f>$D$25/$D$26</f>
        <v/>
      </c>
      <c r="E28" s="28">
        <f>$E$25/$E$26</f>
        <v/>
      </c>
      <c r="F28" s="17" t="inlineStr"/>
    </row>
    <row r="29">
      <c r="A29" s="8" t="inlineStr">
        <is>
          <t>Coleta com a atividade (incl. taxa adicional de solidariedade)</t>
        </is>
      </c>
      <c r="B29" s="9" t="inlineStr">
        <is>
          <t>COL_COM</t>
        </is>
      </c>
      <c r="C29" s="28">
        <f>$C$26*(SUMPRODUCT(($C$27&gt;Parametros!$B$55:$B$63)*($C$27-Parametros!$B$55:$B$63)*Parametros!$E$55:$E$63)+SUMPRODUCT(($C$27&gt;Parametros!$B$67:$B$68)*($C$27-Parametros!$B$67:$B$68)*Parametros!$E$67:$E$68))</f>
        <v/>
      </c>
      <c r="D29" s="28">
        <f>$D$26*(SUMPRODUCT(($D$27&gt;Parametros!$B$55:$B$63)*($D$27-Parametros!$B$55:$B$63)*Parametros!$E$55:$E$63)+SUMPRODUCT(($D$27&gt;Parametros!$B$67:$B$68)*($D$27-Parametros!$B$67:$B$68)*Parametros!$E$67:$E$68))</f>
        <v/>
      </c>
      <c r="E29" s="28">
        <f>$E$26*(SUMPRODUCT(($E$27&gt;Parametros!$B$55:$B$63)*($E$27-Parametros!$B$55:$B$63)*Parametros!$E$55:$E$63)+SUMPRODUCT(($E$27&gt;Parametros!$B$67:$B$68)*($E$27-Parametros!$B$67:$B$68)*Parametros!$E$67:$E$68))</f>
        <v/>
      </c>
      <c r="F29" s="17" t="inlineStr">
        <is>
          <t>Escalões na folha Parâmetros. Art. 68.º, 68.º-A e 69.º CIRS.</t>
        </is>
      </c>
    </row>
    <row r="30">
      <c r="A30" s="8" t="inlineStr">
        <is>
          <t>Coleta sem a atividade</t>
        </is>
      </c>
      <c r="B30" s="9" t="inlineStr">
        <is>
          <t>COL_SEM</t>
        </is>
      </c>
      <c r="C30" s="28">
        <f>$C$26*(SUMPRODUCT(($C$28&gt;Parametros!$B$55:$B$63)*($C$28-Parametros!$B$55:$B$63)*Parametros!$E$55:$E$63)+SUMPRODUCT(($C$28&gt;Parametros!$B$67:$B$68)*($C$28-Parametros!$B$67:$B$68)*Parametros!$E$67:$E$68))</f>
        <v/>
      </c>
      <c r="D30" s="28">
        <f>$D$26*(SUMPRODUCT(($D$28&gt;Parametros!$B$55:$B$63)*($D$28-Parametros!$B$55:$B$63)*Parametros!$E$55:$E$63)+SUMPRODUCT(($D$28&gt;Parametros!$B$67:$B$68)*($D$28-Parametros!$B$67:$B$68)*Parametros!$E$67:$E$68))</f>
        <v/>
      </c>
      <c r="E30" s="28">
        <f>$E$26*(SUMPRODUCT(($E$28&gt;Parametros!$B$55:$B$63)*($E$28-Parametros!$B$55:$B$63)*Parametros!$E$55:$E$63)+SUMPRODUCT(($E$28&gt;Parametros!$B$67:$B$68)*($E$28-Parametros!$B$67:$B$68)*Parametros!$E$67:$E$68))</f>
        <v/>
      </c>
      <c r="F30" s="17" t="inlineStr"/>
    </row>
    <row r="31">
      <c r="A31" s="22" t="inlineStr">
        <is>
          <t>IRS imputável à atividade</t>
        </is>
      </c>
      <c r="B31" s="9" t="inlineStr">
        <is>
          <t>IRS_ATIV</t>
        </is>
      </c>
      <c r="C31" s="27">
        <f>$C$29-$C$30</f>
        <v/>
      </c>
      <c r="D31" s="27">
        <f>$D$29-$D$30</f>
        <v/>
      </c>
      <c r="E31" s="27">
        <f>$E$29-$E$30</f>
        <v/>
      </c>
      <c r="F31" s="17" t="inlineStr"/>
    </row>
    <row r="32">
      <c r="A32" s="8" t="inlineStr">
        <is>
          <t>IRS total do agregado, após deduções à coleta (memória)</t>
        </is>
      </c>
      <c r="B32" s="9" t="inlineStr">
        <is>
          <t>IRS_TOT</t>
        </is>
      </c>
      <c r="C32" s="28">
        <f>MAX(0,$C$29-Inputs!$C$40)</f>
        <v/>
      </c>
      <c r="D32" s="28">
        <f>MAX(0,$D$29-Inputs!$D$40)</f>
        <v/>
      </c>
      <c r="E32" s="28">
        <f>MAX(0,$E$29-Inputs!$E$40)</f>
        <v/>
      </c>
      <c r="F32" s="17" t="inlineStr">
        <is>
          <t>Não entra na comparação entre vias; serve para o enquadramento do capítulo 3.</t>
        </is>
      </c>
    </row>
    <row r="33">
      <c r="A33" s="2" t="inlineStr">
        <is>
          <t>Resultado</t>
        </is>
      </c>
      <c r="B33" s="7" t="n"/>
      <c r="C33" s="7" t="n"/>
      <c r="D33" s="7" t="n"/>
      <c r="E33" s="7" t="n"/>
      <c r="F33" s="7" t="n"/>
    </row>
    <row r="34">
      <c r="A34" s="22" t="inlineStr">
        <is>
          <t>Caixa gerada pela atividade, antes de impostos e contribuições</t>
        </is>
      </c>
      <c r="B34" s="9" t="inlineStr">
        <is>
          <t>CAIXA</t>
        </is>
      </c>
      <c r="C34" s="27">
        <f>Inputs!$C$42+Inputs!$C$43+Inputs!$C$17-(Inputs!$C$19+Inputs!$C$20+Inputs!$C$21+Inputs!$C$22+Inputs!$C$24+Inputs!$C$25+Inputs!$C$44)</f>
        <v/>
      </c>
      <c r="D34" s="27">
        <f>Inputs!$D$42+Inputs!$D$43+Inputs!$D$17-(Inputs!$D$19+Inputs!$D$20+Inputs!$D$21+Inputs!$D$22+Inputs!$D$24+Inputs!$D$25+Inputs!$D$44)</f>
        <v/>
      </c>
      <c r="E34" s="27">
        <f>Inputs!$E$42+Inputs!$E$43+Inputs!$E$17-(Inputs!$E$19+Inputs!$E$20+Inputs!$E$21+Inputs!$E$22+Inputs!$E$24+Inputs!$E$25+Inputs!$E$44)</f>
        <v/>
      </c>
      <c r="F34" s="17" t="inlineStr">
        <is>
          <t>Caixa gerada pela atividade, igual nas quatro vias por construção. Exclui o investimento inicial, que é um efeito de ano 1 e está isolado na folha IVA e na linha própria abaixo.</t>
        </is>
      </c>
    </row>
    <row r="35">
      <c r="A35" s="22" t="inlineStr">
        <is>
          <t>Total de impostos e contribuições</t>
        </is>
      </c>
      <c r="B35" s="9" t="inlineStr">
        <is>
          <t>CARGA</t>
        </is>
      </c>
      <c r="C35" s="27">
        <f>$C$31+$C$18+$C$12+$C$14+$C$15</f>
        <v/>
      </c>
      <c r="D35" s="27">
        <f>$D$31+$D$18+$D$12+$D$14+$D$15</f>
        <v/>
      </c>
      <c r="E35" s="27">
        <f>$E$31+$E$18+$E$12+$E$14+$E$15</f>
        <v/>
      </c>
      <c r="F35" s="17" t="inlineStr">
        <is>
          <t>IRS imputável + contribuições da sócia + contribuições da sociedade + tributações autónomas + derrama. A distribuição do lucro já imputado não é novamente tributada.</t>
        </is>
      </c>
    </row>
    <row r="36">
      <c r="A36" s="8" t="inlineStr">
        <is>
          <t>Taxa de esforço efetiva sobre a caixa gerada</t>
        </is>
      </c>
      <c r="B36" s="9" t="inlineStr">
        <is>
          <t>TAXA_EF</t>
        </is>
      </c>
      <c r="C36" s="37">
        <f>IF($C$34&lt;=0,0,$C$35/$C$34)</f>
        <v/>
      </c>
      <c r="D36" s="37">
        <f>IF($D$34&lt;=0,0,$D$35/$D$34)</f>
        <v/>
      </c>
      <c r="E36" s="37">
        <f>IF($E$34&lt;=0,0,$E$35/$E$34)</f>
        <v/>
      </c>
      <c r="F36" s="17" t="inlineStr"/>
    </row>
    <row r="37">
      <c r="A37" s="8" t="inlineStr">
        <is>
          <t>Valor retido na sociedade (não disponibilizado à sócia)</t>
        </is>
      </c>
      <c r="B37" s="9" t="inlineStr">
        <is>
          <t>RETIDO</t>
        </is>
      </c>
      <c r="C37" s="28">
        <f>MAX(0,(Inputs!$C$42+Inputs!$C$43+Inputs!$C$17-(Inputs!$C$19+Inputs!$C$20+Inputs!$C$21+Inputs!$C$22+Inputs!$C$24+Inputs!$C$25+Inputs!$C$44))-$C$10-$C$12-$C$14-$C$15)*(1-Inputs!$C$34)</f>
        <v/>
      </c>
      <c r="D37" s="28">
        <f>MAX(0,(Inputs!$D$42+Inputs!$D$43+Inputs!$D$17-(Inputs!$D$19+Inputs!$D$20+Inputs!$D$21+Inputs!$D$22+Inputs!$D$24+Inputs!$D$25+Inputs!$D$44))-$D$10-$D$12-$D$14-$D$15)*(1-Inputs!$D$34)</f>
        <v/>
      </c>
      <c r="E37" s="28">
        <f>MAX(0,(Inputs!$E$42+Inputs!$E$43+Inputs!$E$17-(Inputs!$E$19+Inputs!$E$20+Inputs!$E$21+Inputs!$E$22+Inputs!$E$24+Inputs!$E$25+Inputs!$E$44))-$E$10-$E$12-$E$14-$E$15)*(1-Inputs!$E$34)</f>
        <v/>
      </c>
      <c r="F37" s="17" t="inlineStr"/>
    </row>
    <row r="38">
      <c r="A38" s="8" t="inlineStr">
        <is>
          <t>Valor atribuído ao cônjuge por via de dividendos, líquido</t>
        </is>
      </c>
      <c r="B38" s="9" t="inlineStr">
        <is>
          <t>LIQ_CJ</t>
        </is>
      </c>
      <c r="C38" s="28">
        <f>0</f>
        <v/>
      </c>
      <c r="D38" s="28">
        <f>0</f>
        <v/>
      </c>
      <c r="E38" s="28">
        <f>0</f>
        <v/>
      </c>
      <c r="F38" s="17" t="inlineStr">
        <is>
          <t>Só via 4. É uma transferência real de rendimento dentro do agregado e tem de ser explicitada — não é indiferente à sócia.</t>
        </is>
      </c>
    </row>
    <row r="39">
      <c r="A39" s="22" t="inlineStr">
        <is>
          <t>LÍQUIDO DISPONÍVEL PARA A SÓCIA</t>
        </is>
      </c>
      <c r="B39" s="9" t="inlineStr">
        <is>
          <t>LIQ_SOC</t>
        </is>
      </c>
      <c r="C39" s="27">
        <f>$C$34-$C$35-$C$37-$C$38</f>
        <v/>
      </c>
      <c r="D39" s="27">
        <f>$D$34-$D$35-$D$37-$D$38</f>
        <v/>
      </c>
      <c r="E39" s="27">
        <f>$E$34-$E$35-$E$37-$E$38</f>
        <v/>
      </c>
      <c r="F39" s="17" t="inlineStr"/>
    </row>
    <row r="40">
      <c r="A40" s="22" t="inlineStr">
        <is>
          <t>LÍQUIDO DISPONÍVEL PARA O AGREGADO</t>
        </is>
      </c>
      <c r="B40" s="9" t="inlineStr">
        <is>
          <t>LIQ_AGR</t>
        </is>
      </c>
      <c r="C40" s="27">
        <f>$C$39+$C$38</f>
        <v/>
      </c>
      <c r="D40" s="27">
        <f>$D$39+$D$38</f>
        <v/>
      </c>
      <c r="E40" s="27">
        <f>$E$39+$E$38</f>
        <v/>
      </c>
      <c r="F40" s="17" t="inlineStr"/>
    </row>
    <row r="41">
      <c r="A41" s="8" t="inlineStr">
        <is>
          <t>Memória — investimento e IVA não dedutível suportados no ano 1</t>
        </is>
      </c>
      <c r="B41" s="9" t="inlineStr">
        <is>
          <t>INV_A1</t>
        </is>
      </c>
      <c r="C41" s="28">
        <f>Inputs!$C$27+Inputs!$C$28+Inputs!$C$29+Inputs!$C$30</f>
        <v/>
      </c>
      <c r="D41" s="28">
        <f>Inputs!$D$27+Inputs!$D$28+Inputs!$D$29+Inputs!$D$30</f>
        <v/>
      </c>
      <c r="E41" s="28">
        <f>Inputs!$E$27+Inputs!$E$28+Inputs!$E$29+Inputs!$E$30</f>
        <v/>
      </c>
      <c r="F41" s="17" t="inlineStr">
        <is>
          <t>Excluído da comparação anual acima. Quantificação do IVA na folha IVA.</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4" customWidth="1" min="3" max="3"/>
    <col width="14" customWidth="1" min="4" max="4"/>
    <col width="14" customWidth="1" min="5" max="5"/>
    <col width="50" customWidth="1" min="6" max="6"/>
  </cols>
  <sheetData>
    <row r="1">
      <c r="A1" s="1" t="inlineStr">
        <is>
          <t>Via 4 — Sociedade fora da transparência fiscal (entrada do cônjuge)</t>
        </is>
      </c>
    </row>
    <row r="2" ht="40" customHeight="1">
      <c r="A2" s="20" t="inlineStr">
        <is>
          <t>Pressupõe que a entrada do cônjuge afasta o regime do art. 6.º CIRC (ver N1 para o teste). O lucro passa a ser tributado em IRC e a distribuição é tributada de novo na esfera dos sócios. A pergunta a que esta folha responde não é 'sai da transparência?' mas 'compensa sair?'.</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Apuramento ao nível da sociedade</t>
        </is>
      </c>
      <c r="B5" s="7" t="n"/>
      <c r="C5" s="7" t="n"/>
      <c r="D5" s="7" t="n"/>
      <c r="E5" s="7" t="n"/>
      <c r="F5" s="7" t="n"/>
    </row>
    <row r="6">
      <c r="A6" s="8" t="inlineStr">
        <is>
          <t>Receita isenta (fisioterapia + cedência de espaço, se isenta)</t>
        </is>
      </c>
      <c r="B6" s="9" t="inlineStr">
        <is>
          <t>FAT</t>
        </is>
      </c>
      <c r="C6" s="35">
        <f>Inputs!$C$42+IF(Inputs!$C$16=1,0,Inputs!$C$43)</f>
        <v/>
      </c>
      <c r="D6" s="35">
        <f>Inputs!$D$42+IF(Inputs!$D$16=1,0,Inputs!$D$43)</f>
        <v/>
      </c>
      <c r="E6" s="35">
        <f>Inputs!$E$42+IF(Inputs!$E$16=1,0,Inputs!$E$43)</f>
        <v/>
      </c>
      <c r="F6" s="17" t="inlineStr"/>
    </row>
    <row r="7">
      <c r="A7" s="8" t="inlineStr">
        <is>
          <t>Receita sujeita a IVA (cônjuge e/ou cedência tributada)</t>
        </is>
      </c>
      <c r="B7" s="9" t="inlineStr">
        <is>
          <t>FAT_T</t>
        </is>
      </c>
      <c r="C7" s="35">
        <f>Inputs!$C$47</f>
        <v/>
      </c>
      <c r="D7" s="35">
        <f>Inputs!$D$47</f>
        <v/>
      </c>
      <c r="E7" s="35">
        <f>Inputs!$E$47</f>
        <v/>
      </c>
      <c r="F7" s="17" t="inlineStr"/>
    </row>
    <row r="8">
      <c r="A8" s="8" t="inlineStr">
        <is>
          <t>Custos operacionais (excl. honorários)</t>
        </is>
      </c>
      <c r="B8" s="9" t="inlineStr">
        <is>
          <t>C_OP</t>
        </is>
      </c>
      <c r="C8" s="35">
        <f>Inputs!$C$19+Inputs!$C$20+Inputs!$C$21+Inputs!$C$22+Inputs!$C$24+Inputs!$C$25</f>
        <v/>
      </c>
      <c r="D8" s="35">
        <f>Inputs!$D$19+Inputs!$D$20+Inputs!$D$21+Inputs!$D$22+Inputs!$D$24+Inputs!$D$25</f>
        <v/>
      </c>
      <c r="E8" s="35">
        <f>Inputs!$E$19+Inputs!$E$20+Inputs!$E$21+Inputs!$E$22+Inputs!$E$24+Inputs!$E$25</f>
        <v/>
      </c>
      <c r="F8" s="17" t="inlineStr"/>
    </row>
    <row r="9">
      <c r="A9" s="8" t="inlineStr">
        <is>
          <t>Custo com os colaboradores</t>
        </is>
      </c>
      <c r="B9" s="9" t="inlineStr">
        <is>
          <t>C_HON</t>
        </is>
      </c>
      <c r="C9" s="35">
        <f>Inputs!$C$44</f>
        <v/>
      </c>
      <c r="D9" s="35">
        <f>Inputs!$D$44</f>
        <v/>
      </c>
      <c r="E9" s="35">
        <f>Inputs!$E$44</f>
        <v/>
      </c>
      <c r="F9" s="17" t="inlineStr"/>
    </row>
    <row r="10">
      <c r="A10" s="8" t="inlineStr">
        <is>
          <t>Amortizações do exercício</t>
        </is>
      </c>
      <c r="B10" s="9" t="inlineStr">
        <is>
          <t>AMORT</t>
        </is>
      </c>
      <c r="C10" s="28">
        <f>Inputs!$C$27*Parametros!$C$44+(Inputs!$C$28+Inputs!$C$29)*Parametros!$C$45+Inputs!$C$30*Parametros!$C$46</f>
        <v/>
      </c>
      <c r="D10" s="28">
        <f>Inputs!$D$27*Parametros!$C$44+(Inputs!$D$28+Inputs!$D$29)*Parametros!$C$45+Inputs!$D$30*Parametros!$C$46</f>
        <v/>
      </c>
      <c r="E10" s="28">
        <f>Inputs!$E$27*Parametros!$C$44+(Inputs!$E$28+Inputs!$E$29)*Parametros!$C$45+Inputs!$E$30*Parametros!$C$46</f>
        <v/>
      </c>
      <c r="F10" s="17" t="inlineStr"/>
    </row>
    <row r="11">
      <c r="A11" s="8" t="inlineStr">
        <is>
          <t>Remuneração bruta de gerência</t>
        </is>
      </c>
      <c r="B11" s="9" t="inlineStr">
        <is>
          <t>REM</t>
        </is>
      </c>
      <c r="C11" s="35">
        <f>Inputs!$C$32</f>
        <v/>
      </c>
      <c r="D11" s="35">
        <f>Inputs!$D$32</f>
        <v/>
      </c>
      <c r="E11" s="35">
        <f>Inputs!$E$32</f>
        <v/>
      </c>
      <c r="F11" s="17" t="inlineStr"/>
    </row>
    <row r="12">
      <c r="A12" s="8" t="inlineStr">
        <is>
          <t>Base de incidência contributiva do MOE</t>
        </is>
      </c>
      <c r="B12" s="9" t="inlineStr">
        <is>
          <t>BASE_MOE</t>
        </is>
      </c>
      <c r="C12" s="28">
        <f>MAX($C$11,Parametros!$C$6*Parametros!$C$13*12)</f>
        <v/>
      </c>
      <c r="D12" s="28">
        <f>MAX($D$11,Parametros!$C$6*Parametros!$C$13*12)</f>
        <v/>
      </c>
      <c r="E12" s="28">
        <f>MAX($E$11,Parametros!$C$6*Parametros!$C$13*12)</f>
        <v/>
      </c>
      <c r="F12" s="17" t="inlineStr"/>
    </row>
    <row r="13">
      <c r="A13" s="8" t="inlineStr">
        <is>
          <t>Contribuições a cargo da sociedade</t>
        </is>
      </c>
      <c r="B13" s="9" t="inlineStr">
        <is>
          <t>TSU_ENT</t>
        </is>
      </c>
      <c r="C13" s="28">
        <f>$C$12*Parametros!$C$11</f>
        <v/>
      </c>
      <c r="D13" s="28">
        <f>$D$12*Parametros!$C$11</f>
        <v/>
      </c>
      <c r="E13" s="28">
        <f>$E$12*Parametros!$C$11</f>
        <v/>
      </c>
      <c r="F13" s="17" t="inlineStr"/>
    </row>
    <row r="14">
      <c r="A14" s="22" t="inlineStr">
        <is>
          <t>Lucro tributável</t>
        </is>
      </c>
      <c r="B14" s="9" t="inlineStr">
        <is>
          <t>LT</t>
        </is>
      </c>
      <c r="C14" s="27">
        <f>$C$6+$C$7-$C$8-$C$9-$C$10-$C$11-$C$13</f>
        <v/>
      </c>
      <c r="D14" s="27">
        <f>$D$6+$D$7-$D$8-$D$9-$D$10-$D$11-$D$13</f>
        <v/>
      </c>
      <c r="E14" s="27">
        <f>$E$6+$E$7-$E$8-$E$9-$E$10-$E$11-$E$13</f>
        <v/>
      </c>
      <c r="F14" s="17" t="inlineStr"/>
    </row>
    <row r="15">
      <c r="A15" s="8" t="inlineStr">
        <is>
          <t>IRC</t>
        </is>
      </c>
      <c r="B15" s="9" t="inlineStr">
        <is>
          <t>IRC</t>
        </is>
      </c>
      <c r="C15" s="28">
        <f>MIN(MAX($C$14,0),Parametros!$C$34)*Parametros!$C$33+MAX(0,MAX($C$14,0)-Parametros!$C$34)*Parametros!$C$35</f>
        <v/>
      </c>
      <c r="D15" s="28">
        <f>MIN(MAX($D$14,0),Parametros!$C$34)*Parametros!$C$33+MAX(0,MAX($D$14,0)-Parametros!$C$34)*Parametros!$C$35</f>
        <v/>
      </c>
      <c r="E15" s="28">
        <f>MIN(MAX($E$14,0),Parametros!$C$34)*Parametros!$C$33+MAX(0,MAX($E$14,0)-Parametros!$C$34)*Parametros!$C$35</f>
        <v/>
      </c>
      <c r="F15" s="17" t="inlineStr">
        <is>
          <t>Art. 87.º n.º 1 e 2 CIRC. Taxas de 2026 por confirmar — ver R1-11. O primeiro escalão só é aplicável se a sociedade qualificar como PME.</t>
        </is>
      </c>
    </row>
    <row r="16">
      <c r="A16" s="8" t="inlineStr">
        <is>
          <t>Derrama municipal</t>
        </is>
      </c>
      <c r="B16" s="9" t="inlineStr">
        <is>
          <t>DERR</t>
        </is>
      </c>
      <c r="C16" s="28">
        <f>MAX($C$14,0)*Parametros!$C$36</f>
        <v/>
      </c>
      <c r="D16" s="28">
        <f>MAX($D$14,0)*Parametros!$C$36</f>
        <v/>
      </c>
      <c r="E16" s="28">
        <f>MAX($E$14,0)*Parametros!$C$36</f>
        <v/>
      </c>
      <c r="F16" s="17" t="inlineStr">
        <is>
          <t>Confirmar a taxa e eventual isenção do município para volume de negócios reduzido.</t>
        </is>
      </c>
    </row>
    <row r="17">
      <c r="A17" s="8" t="inlineStr">
        <is>
          <t>Tributações autónomas</t>
        </is>
      </c>
      <c r="B17" s="9" t="inlineStr">
        <is>
          <t>TA</t>
        </is>
      </c>
      <c r="C17" s="35">
        <f>Inputs!$C$33</f>
        <v/>
      </c>
      <c r="D17" s="35">
        <f>Inputs!$D$33</f>
        <v/>
      </c>
      <c r="E17" s="35">
        <f>Inputs!$E$33</f>
        <v/>
      </c>
      <c r="F17" s="17" t="inlineStr"/>
    </row>
    <row r="18">
      <c r="A18" s="22" t="inlineStr">
        <is>
          <t>Lucro após imposto</t>
        </is>
      </c>
      <c r="B18" s="9" t="inlineStr">
        <is>
          <t>LUCRO_LIQ</t>
        </is>
      </c>
      <c r="C18" s="27">
        <f>$C$14-$C$15-$C$16-$C$17</f>
        <v/>
      </c>
      <c r="D18" s="27">
        <f>$D$14-$D$15-$D$16-$D$17</f>
        <v/>
      </c>
      <c r="E18" s="27">
        <f>$E$14-$E$15-$E$16-$E$17</f>
        <v/>
      </c>
      <c r="F18" s="17" t="inlineStr"/>
    </row>
    <row r="19">
      <c r="A19" s="2" t="inlineStr">
        <is>
          <t>Distribuição de resultados</t>
        </is>
      </c>
      <c r="B19" s="7" t="n"/>
      <c r="C19" s="7" t="n"/>
      <c r="D19" s="7" t="n"/>
      <c r="E19" s="7" t="n"/>
      <c r="F19" s="7" t="n"/>
    </row>
    <row r="20">
      <c r="A20" s="8" t="inlineStr">
        <is>
          <t>Caixa distribuível</t>
        </is>
      </c>
      <c r="B20" s="9" t="inlineStr">
        <is>
          <t>CX_DIST</t>
        </is>
      </c>
      <c r="C20" s="28">
        <f>MAX(0,(Inputs!$C$42+Inputs!$C$43+Inputs!$C$17-(Inputs!$C$19+Inputs!$C$20+Inputs!$C$21+Inputs!$C$22+Inputs!$C$24+Inputs!$C$25+Inputs!$C$44))-$C$11-$C$13-$C$15-$C$16-$C$17)</f>
        <v/>
      </c>
      <c r="D20" s="28">
        <f>MAX(0,(Inputs!$D$42+Inputs!$D$43+Inputs!$D$17-(Inputs!$D$19+Inputs!$D$20+Inputs!$D$21+Inputs!$D$22+Inputs!$D$24+Inputs!$D$25+Inputs!$D$44))-$D$11-$D$13-$D$15-$D$16-$D$17)</f>
        <v/>
      </c>
      <c r="E20" s="28">
        <f>MAX(0,(Inputs!$E$42+Inputs!$E$43+Inputs!$E$17-(Inputs!$E$19+Inputs!$E$20+Inputs!$E$21+Inputs!$E$22+Inputs!$E$24+Inputs!$E$25+Inputs!$E$44))-$E$11-$E$13-$E$15-$E$16-$E$17)</f>
        <v/>
      </c>
      <c r="F20" s="17" t="inlineStr">
        <is>
          <t>Base de caixa: as amortizações não são saída de caixa, pelo que a caixa distribuível excede o lucro contabilístico enquanto o investimento estiver a ser amortizado.</t>
        </is>
      </c>
    </row>
    <row r="21">
      <c r="A21" s="8" t="inlineStr">
        <is>
          <t>Política de distribuição</t>
        </is>
      </c>
      <c r="B21" s="9" t="inlineStr">
        <is>
          <t>POL</t>
        </is>
      </c>
      <c r="C21" s="36">
        <f>Inputs!$C$34</f>
        <v/>
      </c>
      <c r="D21" s="36">
        <f>Inputs!$D$34</f>
        <v/>
      </c>
      <c r="E21" s="36">
        <f>Inputs!$E$34</f>
        <v/>
      </c>
      <c r="F21" s="17" t="inlineStr">
        <is>
          <t>ALAVANCA PRINCIPAL desta via. A 0% de distribuição a via 4 domina; a 100% pode inverter-se.</t>
        </is>
      </c>
    </row>
    <row r="22">
      <c r="A22" s="8" t="inlineStr">
        <is>
          <t>Montante distribuído</t>
        </is>
      </c>
      <c r="B22" s="9" t="inlineStr">
        <is>
          <t>DIST</t>
        </is>
      </c>
      <c r="C22" s="28">
        <f>$C$20*$C$21</f>
        <v/>
      </c>
      <c r="D22" s="28">
        <f>$D$20*$D$21</f>
        <v/>
      </c>
      <c r="E22" s="28">
        <f>$E$20*$E$21</f>
        <v/>
      </c>
      <c r="F22" s="17" t="inlineStr"/>
    </row>
    <row r="23">
      <c r="A23" s="8" t="inlineStr">
        <is>
          <t>% do capital detida pelo cônjuge</t>
        </is>
      </c>
      <c r="B23" s="9" t="inlineStr">
        <is>
          <t>PCT_CJ</t>
        </is>
      </c>
      <c r="C23" s="36">
        <f>Inputs!$C$35</f>
        <v/>
      </c>
      <c r="D23" s="36">
        <f>Inputs!$D$35</f>
        <v/>
      </c>
      <c r="E23" s="36">
        <f>Inputs!$E$35</f>
        <v/>
      </c>
      <c r="F23" s="17" t="inlineStr"/>
    </row>
    <row r="24">
      <c r="A24" s="8" t="inlineStr">
        <is>
          <t>Dividendo atribuído à sócia</t>
        </is>
      </c>
      <c r="B24" s="9" t="inlineStr">
        <is>
          <t>DIV_JUL</t>
        </is>
      </c>
      <c r="C24" s="28">
        <f>$C$22*(1-$C$23)</f>
        <v/>
      </c>
      <c r="D24" s="28">
        <f>$D$22*(1-$D$23)</f>
        <v/>
      </c>
      <c r="E24" s="28">
        <f>$E$22*(1-$E$23)</f>
        <v/>
      </c>
      <c r="F24" s="17" t="inlineStr"/>
    </row>
    <row r="25">
      <c r="A25" s="8" t="inlineStr">
        <is>
          <t>Dividendo atribuído ao cônjuge</t>
        </is>
      </c>
      <c r="B25" s="9" t="inlineStr">
        <is>
          <t>DIV_CJ</t>
        </is>
      </c>
      <c r="C25" s="28">
        <f>$C$22*$C$23</f>
        <v/>
      </c>
      <c r="D25" s="28">
        <f>$D$22*$D$23</f>
        <v/>
      </c>
      <c r="E25" s="28">
        <f>$E$22*$E$23</f>
        <v/>
      </c>
      <c r="F25" s="17" t="inlineStr">
        <is>
          <t>Consequência não fiscal e frequentemente esquecida: a participação que afasta a transparência desloca essa fração do lucro para o cônjuge, em definitivo.</t>
        </is>
      </c>
    </row>
    <row r="26">
      <c r="A26" s="8" t="inlineStr">
        <is>
          <t>Opção por englobamento dos dividendos (1 = sim / 0 = retenção liberatória)</t>
        </is>
      </c>
      <c r="B26" s="9" t="inlineStr">
        <is>
          <t>ENGLOB</t>
        </is>
      </c>
      <c r="C26" s="38" t="n">
        <v>0</v>
      </c>
      <c r="D26" s="38" t="n">
        <v>0</v>
      </c>
      <c r="E26" s="38" t="n">
        <v>0</v>
      </c>
      <c r="F26" s="17" t="inlineStr">
        <is>
          <t>ALAVANCA. Testar ambas. Art. 71.º n.º 6 e art. 40.º-A CIRS.</t>
        </is>
      </c>
    </row>
    <row r="27">
      <c r="A27" s="8" t="inlineStr">
        <is>
          <t>Imposto sobre dividendos, por retenção liberatória</t>
        </is>
      </c>
      <c r="B27" s="9" t="inlineStr">
        <is>
          <t>IMP_DIV</t>
        </is>
      </c>
      <c r="C27" s="28">
        <f>IF($C$26=1,0,($C$24+$C$25)*Parametros!$C$38)</f>
        <v/>
      </c>
      <c r="D27" s="28">
        <f>IF($D$26=1,0,($D$24+$D$25)*Parametros!$C$38)</f>
        <v/>
      </c>
      <c r="E27" s="28">
        <f>IF($E$26=1,0,($E$24+$E$25)*Parametros!$C$38)</f>
        <v/>
      </c>
      <c r="F27" s="17" t="inlineStr"/>
    </row>
    <row r="28">
      <c r="A28" s="2" t="inlineStr">
        <is>
          <t>IRS do agregado</t>
        </is>
      </c>
      <c r="B28" s="7" t="n"/>
      <c r="C28" s="7" t="n"/>
      <c r="D28" s="7" t="n"/>
      <c r="E28" s="7" t="n"/>
      <c r="F28" s="7" t="n"/>
    </row>
    <row r="29">
      <c r="A29" s="22" t="inlineStr">
        <is>
          <t>Rendimento da sócia sujeito a englobamento</t>
        </is>
      </c>
      <c r="B29" s="9" t="inlineStr">
        <is>
          <t>R_JUL</t>
        </is>
      </c>
      <c r="C29" s="27">
        <f>MAX(0,$C$11-MIN($C$11,MAX(Parametros!$C$30,$C$12*Parametros!$C$12)))+IF($C$26=1,$C$24*Parametros!$C$39,0)</f>
        <v/>
      </c>
      <c r="D29" s="27">
        <f>MAX(0,$D$11-MIN($D$11,MAX(Parametros!$C$30,$D$12*Parametros!$C$12)))+IF($D$26=1,$D$24*Parametros!$C$39,0)</f>
        <v/>
      </c>
      <c r="E29" s="27">
        <f>MAX(0,$E$11-MIN($E$11,MAX(Parametros!$C$30,$E$12*Parametros!$C$12)))+IF($E$26=1,$E$24*Parametros!$C$39,0)</f>
        <v/>
      </c>
      <c r="F29" s="17" t="inlineStr">
        <is>
          <t>Categoria A líquida da dedução específica, mais 50% dos dividendos se houver englobamento (art. 40.º-A CIRS).</t>
        </is>
      </c>
    </row>
    <row r="30">
      <c r="A30" s="8" t="inlineStr">
        <is>
          <t>Rendimento do cônjuge (incl. dividendos englobados, se aplicável)</t>
        </is>
      </c>
      <c r="B30" s="9" t="inlineStr">
        <is>
          <t>R_CONJ</t>
        </is>
      </c>
      <c r="C30" s="28">
        <f>Inputs!$C$37+IF($C$26=1,$C$25*Parametros!$C$39,0)</f>
        <v/>
      </c>
      <c r="D30" s="28">
        <f>Inputs!$D$37+IF($D$26=1,$D$25*Parametros!$C$39,0)</f>
        <v/>
      </c>
      <c r="E30" s="28">
        <f>Inputs!$E$37+IF($E$26=1,$E$25*Parametros!$C$39,0)</f>
        <v/>
      </c>
      <c r="F30" s="17" t="inlineStr"/>
    </row>
    <row r="31">
      <c r="A31" s="8" t="inlineStr">
        <is>
          <t>Rendimento coletável do agregado — com a atividade</t>
        </is>
      </c>
      <c r="B31" s="9" t="inlineStr">
        <is>
          <t>RC_COM</t>
        </is>
      </c>
      <c r="C31" s="28">
        <f>$C$29+$C$30</f>
        <v/>
      </c>
      <c r="D31" s="28">
        <f>$D$29+$D$30</f>
        <v/>
      </c>
      <c r="E31" s="28">
        <f>$E$29+$E$30</f>
        <v/>
      </c>
      <c r="F31" s="17" t="inlineStr"/>
    </row>
    <row r="32">
      <c r="A32" s="8" t="inlineStr">
        <is>
          <t>Rendimento coletável do agregado — sem a atividade</t>
        </is>
      </c>
      <c r="B32" s="9" t="inlineStr">
        <is>
          <t>RC_SEM</t>
        </is>
      </c>
      <c r="C32" s="35">
        <f>Inputs!$C$37</f>
        <v/>
      </c>
      <c r="D32" s="35">
        <f>Inputs!$D$37</f>
        <v/>
      </c>
      <c r="E32" s="35">
        <f>Inputs!$E$37</f>
        <v/>
      </c>
      <c r="F32" s="17" t="inlineStr">
        <is>
          <t>Contrafactual: apenas o rendimento do cônjuge fora da estrutura.</t>
        </is>
      </c>
    </row>
    <row r="33">
      <c r="A33" s="8" t="inlineStr">
        <is>
          <t>Fator do quociente conjugal</t>
        </is>
      </c>
      <c r="B33" s="9" t="inlineStr">
        <is>
          <t>FATOR</t>
        </is>
      </c>
      <c r="C33" s="24">
        <f>IF(Inputs!$C$38=1,2,1)</f>
        <v/>
      </c>
      <c r="D33" s="24">
        <f>IF(Inputs!$D$38=1,2,1)</f>
        <v/>
      </c>
      <c r="E33" s="24">
        <f>IF(Inputs!$E$38=1,2,1)</f>
        <v/>
      </c>
      <c r="F33" s="17" t="inlineStr"/>
    </row>
    <row r="34">
      <c r="A34" s="8" t="inlineStr">
        <is>
          <t>Rendimento coletável ajustado ao quociente — com a atividade</t>
        </is>
      </c>
      <c r="B34" s="9" t="inlineStr">
        <is>
          <t>RCQ_COM</t>
        </is>
      </c>
      <c r="C34" s="28">
        <f>$C$31/$C$33</f>
        <v/>
      </c>
      <c r="D34" s="28">
        <f>$D$31/$D$33</f>
        <v/>
      </c>
      <c r="E34" s="28">
        <f>$E$31/$E$33</f>
        <v/>
      </c>
      <c r="F34" s="17" t="inlineStr"/>
    </row>
    <row r="35">
      <c r="A35" s="8" t="inlineStr">
        <is>
          <t>Rendimento coletável ajustado ao quociente — sem a atividade</t>
        </is>
      </c>
      <c r="B35" s="9" t="inlineStr">
        <is>
          <t>RCQ_SEM</t>
        </is>
      </c>
      <c r="C35" s="28">
        <f>$C$32/$C$33</f>
        <v/>
      </c>
      <c r="D35" s="28">
        <f>$D$32/$D$33</f>
        <v/>
      </c>
      <c r="E35" s="28">
        <f>$E$32/$E$33</f>
        <v/>
      </c>
      <c r="F35" s="17" t="inlineStr"/>
    </row>
    <row r="36">
      <c r="A36" s="8" t="inlineStr">
        <is>
          <t>Coleta com a atividade (incl. taxa adicional de solidariedade)</t>
        </is>
      </c>
      <c r="B36" s="9" t="inlineStr">
        <is>
          <t>COL_COM</t>
        </is>
      </c>
      <c r="C36" s="28">
        <f>$C$33*(SUMPRODUCT(($C$34&gt;Parametros!$B$55:$B$63)*($C$34-Parametros!$B$55:$B$63)*Parametros!$E$55:$E$63)+SUMPRODUCT(($C$34&gt;Parametros!$B$67:$B$68)*($C$34-Parametros!$B$67:$B$68)*Parametros!$E$67:$E$68))</f>
        <v/>
      </c>
      <c r="D36" s="28">
        <f>$D$33*(SUMPRODUCT(($D$34&gt;Parametros!$B$55:$B$63)*($D$34-Parametros!$B$55:$B$63)*Parametros!$E$55:$E$63)+SUMPRODUCT(($D$34&gt;Parametros!$B$67:$B$68)*($D$34-Parametros!$B$67:$B$68)*Parametros!$E$67:$E$68))</f>
        <v/>
      </c>
      <c r="E36" s="28">
        <f>$E$33*(SUMPRODUCT(($E$34&gt;Parametros!$B$55:$B$63)*($E$34-Parametros!$B$55:$B$63)*Parametros!$E$55:$E$63)+SUMPRODUCT(($E$34&gt;Parametros!$B$67:$B$68)*($E$34-Parametros!$B$67:$B$68)*Parametros!$E$67:$E$68))</f>
        <v/>
      </c>
      <c r="F36" s="17" t="inlineStr"/>
    </row>
    <row r="37">
      <c r="A37" s="8" t="inlineStr">
        <is>
          <t>Coleta sem a atividade</t>
        </is>
      </c>
      <c r="B37" s="9" t="inlineStr">
        <is>
          <t>COL_SEM</t>
        </is>
      </c>
      <c r="C37" s="28">
        <f>$C$33*(SUMPRODUCT(($C$35&gt;Parametros!$B$55:$B$63)*($C$35-Parametros!$B$55:$B$63)*Parametros!$E$55:$E$63)+SUMPRODUCT(($C$35&gt;Parametros!$B$67:$B$68)*($C$35-Parametros!$B$67:$B$68)*Parametros!$E$67:$E$68))</f>
        <v/>
      </c>
      <c r="D37" s="28">
        <f>$D$33*(SUMPRODUCT(($D$35&gt;Parametros!$B$55:$B$63)*($D$35-Parametros!$B$55:$B$63)*Parametros!$E$55:$E$63)+SUMPRODUCT(($D$35&gt;Parametros!$B$67:$B$68)*($D$35-Parametros!$B$67:$B$68)*Parametros!$E$67:$E$68))</f>
        <v/>
      </c>
      <c r="E37" s="28">
        <f>$E$33*(SUMPRODUCT(($E$35&gt;Parametros!$B$55:$B$63)*($E$35-Parametros!$B$55:$B$63)*Parametros!$E$55:$E$63)+SUMPRODUCT(($E$35&gt;Parametros!$B$67:$B$68)*($E$35-Parametros!$B$67:$B$68)*Parametros!$E$67:$E$68))</f>
        <v/>
      </c>
      <c r="F37" s="17" t="inlineStr"/>
    </row>
    <row r="38">
      <c r="A38" s="22" t="inlineStr">
        <is>
          <t>IRS imputável à atividade</t>
        </is>
      </c>
      <c r="B38" s="9" t="inlineStr">
        <is>
          <t>IRS_ATIV</t>
        </is>
      </c>
      <c r="C38" s="27">
        <f>$C$36-$C$37</f>
        <v/>
      </c>
      <c r="D38" s="27">
        <f>$D$36-$D$37</f>
        <v/>
      </c>
      <c r="E38" s="27">
        <f>$E$36-$E$37</f>
        <v/>
      </c>
      <c r="F38" s="17" t="inlineStr"/>
    </row>
    <row r="39">
      <c r="A39" s="8" t="inlineStr">
        <is>
          <t>IRS total do agregado, após deduções à coleta (memória)</t>
        </is>
      </c>
      <c r="B39" s="9" t="inlineStr">
        <is>
          <t>IRS_TOT</t>
        </is>
      </c>
      <c r="C39" s="28">
        <f>MAX(0,$C$36-Inputs!$C$40)</f>
        <v/>
      </c>
      <c r="D39" s="28">
        <f>MAX(0,$D$36-Inputs!$D$40)</f>
        <v/>
      </c>
      <c r="E39" s="28">
        <f>MAX(0,$E$36-Inputs!$E$40)</f>
        <v/>
      </c>
      <c r="F39" s="17" t="inlineStr"/>
    </row>
    <row r="40">
      <c r="A40" s="8" t="inlineStr">
        <is>
          <t>Contribuições a cargo da sócia (memória)</t>
        </is>
      </c>
      <c r="B40" s="9" t="inlineStr">
        <is>
          <t>SS_TRAB</t>
        </is>
      </c>
      <c r="C40" s="28">
        <f>$C$12*Parametros!$C$12</f>
        <v/>
      </c>
      <c r="D40" s="28">
        <f>$D$12*Parametros!$C$12</f>
        <v/>
      </c>
      <c r="E40" s="28">
        <f>$E$12*Parametros!$C$12</f>
        <v/>
      </c>
      <c r="F40" s="17" t="inlineStr"/>
    </row>
    <row r="41">
      <c r="A41" s="2" t="inlineStr">
        <is>
          <t>Resultado</t>
        </is>
      </c>
      <c r="B41" s="7" t="n"/>
      <c r="C41" s="7" t="n"/>
      <c r="D41" s="7" t="n"/>
      <c r="E41" s="7" t="n"/>
      <c r="F41" s="7" t="n"/>
    </row>
    <row r="42">
      <c r="A42" s="22" t="inlineStr">
        <is>
          <t>Caixa gerada pela atividade, antes de impostos e contribuições</t>
        </is>
      </c>
      <c r="B42" s="9" t="inlineStr">
        <is>
          <t>CAIXA</t>
        </is>
      </c>
      <c r="C42" s="27">
        <f>Inputs!$C$42+Inputs!$C$43+Inputs!$C$17-(Inputs!$C$19+Inputs!$C$20+Inputs!$C$21+Inputs!$C$22+Inputs!$C$24+Inputs!$C$25+Inputs!$C$44)</f>
        <v/>
      </c>
      <c r="D42" s="27">
        <f>Inputs!$D$42+Inputs!$D$43+Inputs!$D$17-(Inputs!$D$19+Inputs!$D$20+Inputs!$D$21+Inputs!$D$22+Inputs!$D$24+Inputs!$D$25+Inputs!$D$44)</f>
        <v/>
      </c>
      <c r="E42" s="27">
        <f>Inputs!$E$42+Inputs!$E$43+Inputs!$E$17-(Inputs!$E$19+Inputs!$E$20+Inputs!$E$21+Inputs!$E$22+Inputs!$E$24+Inputs!$E$25+Inputs!$E$44)</f>
        <v/>
      </c>
      <c r="F42" s="17" t="inlineStr">
        <is>
          <t>Caixa gerada pela atividade, igual nas quatro vias por construção. Exclui o investimento inicial, que é um efeito de ano 1 e está isolado na folha IVA e na linha própria abaixo.</t>
        </is>
      </c>
    </row>
    <row r="43">
      <c r="A43" s="22" t="inlineStr">
        <is>
          <t>Total de impostos e contribuições</t>
        </is>
      </c>
      <c r="B43" s="9" t="inlineStr">
        <is>
          <t>CARGA</t>
        </is>
      </c>
      <c r="C43" s="27">
        <f>$C$38+$C$40+$C$13+$C$15+$C$16+$C$17+$C$27</f>
        <v/>
      </c>
      <c r="D43" s="27">
        <f>$D$38+$D$40+$D$13+$D$15+$D$16+$D$17+$D$27</f>
        <v/>
      </c>
      <c r="E43" s="27">
        <f>$E$38+$E$40+$E$13+$E$15+$E$16+$E$17+$E$27</f>
        <v/>
      </c>
      <c r="F43" s="17" t="inlineStr">
        <is>
          <t>IRS imputável + contribuições da sócia e da sociedade + IRC + derrama + tributações autónomas + imposto sobre dividendos.</t>
        </is>
      </c>
    </row>
    <row r="44">
      <c r="A44" s="8" t="inlineStr">
        <is>
          <t>Taxa de esforço efetiva sobre a caixa gerada</t>
        </is>
      </c>
      <c r="B44" s="9" t="inlineStr">
        <is>
          <t>TAXA_EF</t>
        </is>
      </c>
      <c r="C44" s="37">
        <f>IF($C$42&lt;=0,0,$C$43/$C$42)</f>
        <v/>
      </c>
      <c r="D44" s="37">
        <f>IF($D$42&lt;=0,0,$D$43/$D$42)</f>
        <v/>
      </c>
      <c r="E44" s="37">
        <f>IF($E$42&lt;=0,0,$E$43/$E$42)</f>
        <v/>
      </c>
      <c r="F44" s="17" t="inlineStr"/>
    </row>
    <row r="45">
      <c r="A45" s="8" t="inlineStr">
        <is>
          <t>Valor retido na sociedade (não disponibilizado à sócia)</t>
        </is>
      </c>
      <c r="B45" s="9" t="inlineStr">
        <is>
          <t>RETIDO</t>
        </is>
      </c>
      <c r="C45" s="28">
        <f>$C$20-$C$22</f>
        <v/>
      </c>
      <c r="D45" s="28">
        <f>$D$20-$D$22</f>
        <v/>
      </c>
      <c r="E45" s="28">
        <f>$E$20-$E$22</f>
        <v/>
      </c>
      <c r="F45" s="17" t="inlineStr"/>
    </row>
    <row r="46">
      <c r="A46" s="8" t="inlineStr">
        <is>
          <t>Valor atribuído ao cônjuge por via de dividendos, líquido</t>
        </is>
      </c>
      <c r="B46" s="9" t="inlineStr">
        <is>
          <t>LIQ_CJ</t>
        </is>
      </c>
      <c r="C46" s="28">
        <f>$C$25-IF($C$26=1,0,$C$25*Parametros!$C$38)</f>
        <v/>
      </c>
      <c r="D46" s="28">
        <f>$D$25-IF($D$26=1,0,$D$25*Parametros!$C$38)</f>
        <v/>
      </c>
      <c r="E46" s="28">
        <f>$E$25-IF($E$26=1,0,$E$25*Parametros!$C$38)</f>
        <v/>
      </c>
      <c r="F46" s="17" t="inlineStr">
        <is>
          <t>Só via 4. É uma transferência real de rendimento dentro do agregado e tem de ser explicitada — não é indiferente à sócia.</t>
        </is>
      </c>
    </row>
    <row r="47">
      <c r="A47" s="22" t="inlineStr">
        <is>
          <t>LÍQUIDO DISPONÍVEL PARA A SÓCIA</t>
        </is>
      </c>
      <c r="B47" s="9" t="inlineStr">
        <is>
          <t>LIQ_SOC</t>
        </is>
      </c>
      <c r="C47" s="27">
        <f>$C$42-$C$43-$C$45-$C$46</f>
        <v/>
      </c>
      <c r="D47" s="27">
        <f>$D$42-$D$43-$D$45-$D$46</f>
        <v/>
      </c>
      <c r="E47" s="27">
        <f>$E$42-$E$43-$E$45-$E$46</f>
        <v/>
      </c>
      <c r="F47" s="17" t="inlineStr"/>
    </row>
    <row r="48">
      <c r="A48" s="22" t="inlineStr">
        <is>
          <t>LÍQUIDO DISPONÍVEL PARA O AGREGADO</t>
        </is>
      </c>
      <c r="B48" s="9" t="inlineStr">
        <is>
          <t>LIQ_AGR</t>
        </is>
      </c>
      <c r="C48" s="27">
        <f>$C$47+$C$46</f>
        <v/>
      </c>
      <c r="D48" s="27">
        <f>$D$47+$D$46</f>
        <v/>
      </c>
      <c r="E48" s="27">
        <f>$E$47+$E$46</f>
        <v/>
      </c>
      <c r="F48" s="17" t="inlineStr"/>
    </row>
    <row r="49">
      <c r="A49" s="8" t="inlineStr">
        <is>
          <t>Memória — investimento e IVA não dedutível suportados no ano 1</t>
        </is>
      </c>
      <c r="B49" s="9" t="inlineStr">
        <is>
          <t>INV_A1</t>
        </is>
      </c>
      <c r="C49" s="28">
        <f>Inputs!$C$27+Inputs!$C$28+Inputs!$C$29+Inputs!$C$30</f>
        <v/>
      </c>
      <c r="D49" s="28">
        <f>Inputs!$D$27+Inputs!$D$28+Inputs!$D$29+Inputs!$D$30</f>
        <v/>
      </c>
      <c r="E49" s="28">
        <f>Inputs!$E$27+Inputs!$E$28+Inputs!$E$29+Inputs!$E$30</f>
        <v/>
      </c>
      <c r="F49" s="17" t="inlineStr">
        <is>
          <t>Excluído da comparação anual acima. Quantificação do IVA na folha IVA.</t>
        </is>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C26 D26 E26" showDropDown="0" showInputMessage="0" showErrorMessage="1" allowBlank="0" errorTitle="Valor não permitido" error="Só são admitidos 0 ou 1." type="list">
      <formula1>"0,1"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8" customWidth="1" min="1" max="1"/>
    <col width="13" customWidth="1" min="2" max="2"/>
    <col width="14" customWidth="1" min="3" max="3"/>
    <col width="14" customWidth="1" min="4" max="4"/>
    <col width="14" customWidth="1" min="5" max="5"/>
    <col width="52" customWidth="1" min="6" max="6"/>
  </cols>
  <sheetData>
    <row r="1">
      <c r="A1" s="1" t="inlineStr">
        <is>
          <t>M1 — IVA sobre o investimento e custos correntes</t>
        </is>
      </c>
    </row>
    <row r="2" ht="46" customHeight="1">
      <c r="A2" s="20" t="inlineStr">
        <is>
          <t>A fisioterapia é isenta pelo art. 9.º n.º 1 CIVA. É isenção incompleta: não confere direito à dedução. Todo o IVA suportado é custo. Esta folha quantifica o custo e testa as duas atenuantes: taxa reduzida em equipamento (Lista I) e sujeito passivo misto por entrada do cônjuge.</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IVA suportado no investimento inicial</t>
        </is>
      </c>
      <c r="B5" s="7" t="n"/>
      <c r="C5" s="7" t="n"/>
      <c r="D5" s="7" t="n"/>
      <c r="E5" s="7" t="n"/>
      <c r="F5" s="7" t="n"/>
    </row>
    <row r="6">
      <c r="A6" s="8" t="inlineStr">
        <is>
          <t>IVA nas obras</t>
        </is>
      </c>
      <c r="B6" s="9" t="inlineStr">
        <is>
          <t>I_OBRAS</t>
        </is>
      </c>
      <c r="C6" s="28">
        <f>Inputs!$C$27*Parametros!$C$41</f>
        <v/>
      </c>
      <c r="D6" s="28">
        <f>Inputs!$D$27*Parametros!$C$41</f>
        <v/>
      </c>
      <c r="E6" s="28">
        <f>Inputs!$E$27*Parametros!$C$41</f>
        <v/>
      </c>
      <c r="F6" s="17" t="inlineStr"/>
    </row>
    <row r="7">
      <c r="A7" s="8" t="inlineStr">
        <is>
          <t>IVA no equipamento à taxa normal</t>
        </is>
      </c>
      <c r="B7" s="9" t="inlineStr">
        <is>
          <t>I_EQN</t>
        </is>
      </c>
      <c r="C7" s="28">
        <f>Inputs!$C$28*Parametros!$C$41</f>
        <v/>
      </c>
      <c r="D7" s="28">
        <f>Inputs!$D$28*Parametros!$C$41</f>
        <v/>
      </c>
      <c r="E7" s="28">
        <f>Inputs!$E$28*Parametros!$C$41</f>
        <v/>
      </c>
      <c r="F7" s="17" t="inlineStr"/>
    </row>
    <row r="8">
      <c r="A8" s="8" t="inlineStr">
        <is>
          <t>IVA no equipamento à taxa reduzida</t>
        </is>
      </c>
      <c r="B8" s="9" t="inlineStr">
        <is>
          <t>I_EQR</t>
        </is>
      </c>
      <c r="C8" s="28">
        <f>Inputs!$C$29*Parametros!$C$42</f>
        <v/>
      </c>
      <c r="D8" s="28">
        <f>Inputs!$D$29*Parametros!$C$42</f>
        <v/>
      </c>
      <c r="E8" s="28">
        <f>Inputs!$E$29*Parametros!$C$42</f>
        <v/>
      </c>
      <c r="F8" s="17" t="inlineStr">
        <is>
          <t>Verbas 2.5 e 2.6 da Lista I do CIVA. A confirmar item a item contra o orçamento de equipamento — é a atenuante mais barata de obter e ninguém a verificou ainda.</t>
        </is>
      </c>
    </row>
    <row r="9">
      <c r="A9" s="8" t="inlineStr">
        <is>
          <t>IVA no software</t>
        </is>
      </c>
      <c r="B9" s="9" t="inlineStr">
        <is>
          <t>I_SOFT</t>
        </is>
      </c>
      <c r="C9" s="28">
        <f>Inputs!$C$30*Parametros!$C$41</f>
        <v/>
      </c>
      <c r="D9" s="28">
        <f>Inputs!$D$30*Parametros!$C$41</f>
        <v/>
      </c>
      <c r="E9" s="28">
        <f>Inputs!$E$30*Parametros!$C$41</f>
        <v/>
      </c>
      <c r="F9" s="17" t="inlineStr"/>
    </row>
    <row r="10">
      <c r="A10" s="22" t="inlineStr">
        <is>
          <t>Total de IVA suportado no investimento</t>
        </is>
      </c>
      <c r="B10" s="9" t="inlineStr">
        <is>
          <t>I_TOT</t>
        </is>
      </c>
      <c r="C10" s="27">
        <f>SUM($C$6:$C$9)</f>
        <v/>
      </c>
      <c r="D10" s="27">
        <f>SUM($D$6:$D$9)</f>
        <v/>
      </c>
      <c r="E10" s="27">
        <f>SUM($E$6:$E$9)</f>
        <v/>
      </c>
      <c r="F10" s="17" t="inlineStr"/>
    </row>
    <row r="11">
      <c r="A11" s="2" t="inlineStr">
        <is>
          <t>Tratamento nas vias 1, 2 e 3 — atividade exclusivamente isenta</t>
        </is>
      </c>
      <c r="B11" s="7" t="n"/>
      <c r="C11" s="7" t="n"/>
      <c r="D11" s="7" t="n"/>
      <c r="E11" s="7" t="n"/>
      <c r="F11" s="7" t="n"/>
    </row>
    <row r="12">
      <c r="A12" s="8" t="inlineStr">
        <is>
          <t>IVA dedutível</t>
        </is>
      </c>
      <c r="B12" s="9" t="inlineStr">
        <is>
          <t>D_ISENTO</t>
        </is>
      </c>
      <c r="C12" s="28">
        <f>0</f>
        <v/>
      </c>
      <c r="D12" s="28">
        <f>0</f>
        <v/>
      </c>
      <c r="E12" s="28">
        <f>0</f>
        <v/>
      </c>
      <c r="F12" s="17" t="inlineStr">
        <is>
          <t>Art. 20.º n.º 1 CIVA a contrario: isenção do art. 9.º não confere direito à dedução.</t>
        </is>
      </c>
    </row>
    <row r="13">
      <c r="A13" s="22" t="inlineStr">
        <is>
          <t>IVA perdido, convertido em custo do investimento</t>
        </is>
      </c>
      <c r="B13" s="9" t="inlineStr">
        <is>
          <t>P_ISENTO</t>
        </is>
      </c>
      <c r="C13" s="27">
        <f>$C$10</f>
        <v/>
      </c>
      <c r="D13" s="27">
        <f>$D$10</f>
        <v/>
      </c>
      <c r="E13" s="27">
        <f>$E$10</f>
        <v/>
      </c>
      <c r="F13" s="17" t="inlineStr">
        <is>
          <t>Este montante acresce ao custo de aquisição e é amortizado nas vias com contabilidade.</t>
        </is>
      </c>
    </row>
    <row r="14">
      <c r="A14" s="2" t="inlineStr">
        <is>
          <t>Tratamento na via 4 — sujeito passivo misto</t>
        </is>
      </c>
      <c r="B14" s="7" t="n"/>
      <c r="C14" s="7" t="n"/>
      <c r="D14" s="7" t="n"/>
      <c r="E14" s="7" t="n"/>
      <c r="F14" s="7" t="n"/>
    </row>
    <row r="15">
      <c r="A15" s="8" t="inlineStr">
        <is>
          <t>Pro rata de dedução</t>
        </is>
      </c>
      <c r="B15" s="9" t="inlineStr">
        <is>
          <t>PRO_RATA</t>
        </is>
      </c>
      <c r="C15" s="37">
        <f>IF(Inputs!$C$46&lt;=0,0,Inputs!$C$47/Inputs!$C$46)</f>
        <v/>
      </c>
      <c r="D15" s="37">
        <f>IF(Inputs!$D$46&lt;=0,0,Inputs!$D$47/Inputs!$D$46)</f>
        <v/>
      </c>
      <c r="E15" s="37">
        <f>IF(Inputs!$E$46&lt;=0,0,Inputs!$E$47/Inputs!$E$46)</f>
        <v/>
      </c>
      <c r="F15" s="17" t="inlineStr">
        <is>
          <t>Art. 23.º n.º 4 CIVA: volume de negócios com direito a dedução sobre o total. Com FAT_TRIB a zero o pro rata é zero — só há dedução se o cônjuge faturar dentro da sociedade.</t>
        </is>
      </c>
    </row>
    <row r="16">
      <c r="A16" s="8" t="inlineStr">
        <is>
          <t>% do investimento afeto exclusivamente à atividade tributada</t>
        </is>
      </c>
      <c r="B16" s="9" t="inlineStr">
        <is>
          <t>PCT_EXCL</t>
        </is>
      </c>
      <c r="C16" s="13" t="n">
        <v>0</v>
      </c>
      <c r="D16" s="13" t="n">
        <v>0</v>
      </c>
      <c r="E16" s="13" t="n">
        <v>0</v>
      </c>
      <c r="F16" s="17" t="inlineStr">
        <is>
          <t>Só relevante na afetação real. A preencher com base na planta do espaço e no orçamento de obras.</t>
        </is>
      </c>
    </row>
    <row r="17">
      <c r="A17" s="8" t="inlineStr">
        <is>
          <t>IVA dedutível — método do pro rata</t>
        </is>
      </c>
      <c r="B17" s="9" t="inlineStr">
        <is>
          <t>D_PRORATA</t>
        </is>
      </c>
      <c r="C17" s="28">
        <f>$C$10*$C$15</f>
        <v/>
      </c>
      <c r="D17" s="28">
        <f>$D$10*$D$15</f>
        <v/>
      </c>
      <c r="E17" s="28">
        <f>$E$10*$E$15</f>
        <v/>
      </c>
      <c r="F17" s="17" t="inlineStr"/>
    </row>
    <row r="18">
      <c r="A18" s="8" t="inlineStr">
        <is>
          <t>IVA dedutível — método da afetação real</t>
        </is>
      </c>
      <c r="B18" s="9" t="inlineStr">
        <is>
          <t>D_REAL</t>
        </is>
      </c>
      <c r="C18" s="28">
        <f>$C$10*$C$16+$C$10*(1-$C$16)*$C$15</f>
        <v/>
      </c>
      <c r="D18" s="28">
        <f>$D$10*$D$16+$D$10*(1-$D$16)*$D$15</f>
        <v/>
      </c>
      <c r="E18" s="28">
        <f>$E$10*$E$16+$E$10*(1-$E$16)*$E$15</f>
        <v/>
      </c>
      <c r="F18" s="17" t="inlineStr">
        <is>
          <t>Art. 23.º n.º 2 CIVA. Dedução integral na parte exclusivamente afeta a operações tributadas, pro rata nos custos comuns. Mais favorável, mas exige segregação documental permanente (ata, ponto 6).</t>
        </is>
      </c>
    </row>
    <row r="19">
      <c r="A19" s="22" t="inlineStr">
        <is>
          <t>IVA recuperável na melhor hipótese</t>
        </is>
      </c>
      <c r="B19" s="9" t="inlineStr">
        <is>
          <t>D_MELHOR</t>
        </is>
      </c>
      <c r="C19" s="27">
        <f>MAX($C$17,$C$18)</f>
        <v/>
      </c>
      <c r="D19" s="27">
        <f>MAX($D$17,$D$18)</f>
        <v/>
      </c>
      <c r="E19" s="27">
        <f>MAX($E$17,$E$18)</f>
        <v/>
      </c>
      <c r="F19" s="17" t="inlineStr"/>
    </row>
    <row r="20">
      <c r="A20" s="22" t="inlineStr">
        <is>
          <t>IVA perdido na via 4</t>
        </is>
      </c>
      <c r="B20" s="9" t="inlineStr">
        <is>
          <t>P_MISTO</t>
        </is>
      </c>
      <c r="C20" s="27">
        <f>$C$10-$C$19</f>
        <v/>
      </c>
      <c r="D20" s="27">
        <f>$D$10-$D$19</f>
        <v/>
      </c>
      <c r="E20" s="27">
        <f>$E$10-$E$19</f>
        <v/>
      </c>
      <c r="F20" s="17" t="inlineStr"/>
    </row>
    <row r="21">
      <c r="A21" s="22" t="inlineStr">
        <is>
          <t>Ganho de IVA atribuível à entrada do cônjuge</t>
        </is>
      </c>
      <c r="B21" s="9" t="inlineStr">
        <is>
          <t>GANHO</t>
        </is>
      </c>
      <c r="C21" s="27">
        <f>$C$13-$C$20</f>
        <v/>
      </c>
      <c r="D21" s="27">
        <f>$D$13-$D$20</f>
        <v/>
      </c>
      <c r="E21" s="27">
        <f>$E$13-$E$20</f>
        <v/>
      </c>
      <c r="F21" s="17" t="inlineStr">
        <is>
          <t>Comparar com o diferencial de IRS/IRC da folha Comparativo. A ata afirma que o efeito da transparência é 'materialmente superior' ao do IVA — esta linha é o teste dessa afirmação.</t>
        </is>
      </c>
    </row>
    <row r="22">
      <c r="A22" s="2" t="inlineStr">
        <is>
          <t>Sensibilidade — elegibilidade para taxa reduzida</t>
        </is>
      </c>
      <c r="B22" s="7" t="n"/>
      <c r="C22" s="7" t="n"/>
      <c r="D22" s="7" t="n"/>
      <c r="E22" s="7" t="n"/>
      <c r="F22" s="7" t="n"/>
    </row>
    <row r="23">
      <c r="A23" s="8" t="inlineStr">
        <is>
          <t>% do equipamento que viesse a qualificar para a taxa reduzida</t>
        </is>
      </c>
      <c r="B23" s="9" t="inlineStr">
        <is>
          <t>SENS_PCT</t>
        </is>
      </c>
      <c r="C23" s="13" t="n">
        <v>0.3</v>
      </c>
      <c r="D23" s="13" t="n">
        <v>0.3</v>
      </c>
      <c r="E23" s="13" t="n">
        <v>0.3</v>
      </c>
      <c r="F23" s="17" t="inlineStr">
        <is>
          <t>Cenário de teste. Não é uma estimativa: substituir pela verificação item a item.</t>
        </is>
      </c>
    </row>
    <row r="24">
      <c r="A24" s="22" t="inlineStr">
        <is>
          <t>Poupança de IVA nesse cenário</t>
        </is>
      </c>
      <c r="B24" s="9" t="inlineStr">
        <is>
          <t>SENS_GAN</t>
        </is>
      </c>
      <c r="C24" s="27">
        <f>Inputs!$C$28*$C$23*(Parametros!$C$41-Parametros!$C$42)</f>
        <v/>
      </c>
      <c r="D24" s="27">
        <f>Inputs!$D$28*$D$23*(Parametros!$C$41-Parametros!$C$42)</f>
        <v/>
      </c>
      <c r="E24" s="27">
        <f>Inputs!$E$28*$E$23*(Parametros!$C$41-Parametros!$C$42)</f>
        <v/>
      </c>
      <c r="F24" s="17" t="inlineStr"/>
    </row>
    <row r="25">
      <c r="A25" s="2" t="inlineStr">
        <is>
          <t>IVA em custos correntes (anual, memória)</t>
        </is>
      </c>
      <c r="B25" s="7" t="n"/>
      <c r="C25" s="7" t="n"/>
      <c r="D25" s="7" t="n"/>
      <c r="E25" s="7" t="n"/>
      <c r="F25" s="7" t="n"/>
    </row>
    <row r="26">
      <c r="A26" s="8" t="inlineStr">
        <is>
          <t>Base dos custos correntes sujeitos a IVA</t>
        </is>
      </c>
      <c r="B26" s="9" t="inlineStr">
        <is>
          <t>C_CORR</t>
        </is>
      </c>
      <c r="C26" s="35">
        <f>Inputs!$C$22+Inputs!$C$24+Inputs!$C$25</f>
        <v/>
      </c>
      <c r="D26" s="35">
        <f>Inputs!$D$22+Inputs!$D$24+Inputs!$D$25</f>
        <v/>
      </c>
      <c r="E26" s="35">
        <f>Inputs!$E$22+Inputs!$E$24+Inputs!$E$25</f>
        <v/>
      </c>
      <c r="F26" s="17" t="inlineStr">
        <is>
          <t>Renda paga excluída: o arrendamento é isento salvo renúncia (art. 9.º n.º 29 CIVA). Honorários de fisioterapeutas excluídos: também isentos pelo art. 9.º n.º 1.</t>
        </is>
      </c>
    </row>
    <row r="27">
      <c r="A27" s="22" t="inlineStr">
        <is>
          <t>IVA anual suportado e não dedutível (vias 1 a 3)</t>
        </is>
      </c>
      <c r="B27" s="9" t="inlineStr">
        <is>
          <t>C_IVA</t>
        </is>
      </c>
      <c r="C27" s="27">
        <f>$C$26*Parametros!$C$41</f>
        <v/>
      </c>
      <c r="D27" s="27">
        <f>$D$26*Parametros!$C$41</f>
        <v/>
      </c>
      <c r="E27" s="27">
        <f>$E$26*Parametros!$C$41</f>
        <v/>
      </c>
      <c r="F27" s="17" t="inlineStr"/>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C16 C23 D16 D23 E16 E23" showDropDown="0" showInputMessage="0" showErrorMessage="1" allowBlank="0" errorTitle="Percentagem inválida" error="Introduza a percentagem como fração: 0,25 para 25%." type="decimal" operator="between">
      <formula1>0</formula1>
      <formula2>2</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54" customWidth="1" min="1" max="1"/>
    <col width="4" customWidth="1" min="2" max="2"/>
    <col width="17" customWidth="1" min="3" max="3"/>
    <col width="17" customWidth="1" min="4" max="4"/>
    <col width="17" customWidth="1" min="5" max="5"/>
    <col width="17" customWidth="1" min="6" max="6"/>
    <col width="46" customWidth="1" min="7" max="7"/>
  </cols>
  <sheetData>
    <row r="1">
      <c r="A1" s="1" t="inlineStr">
        <is>
          <t>M1 — Comparativo das quatro vias</t>
        </is>
      </c>
    </row>
    <row r="2" ht="44" customHeight="1">
      <c r="A2" s="20" t="inlineStr">
        <is>
          <t>Output principal do modelo. Sustenta o capítulo 3 do relatório e o anexo E2. Cada bloco é um cenário de faturação. O indicador de decisão é o líquido disponível para a sócia, não a carga fiscal absoluta — uma via pode pagar menos imposto e entregar menos dinheiro.</t>
        </is>
      </c>
    </row>
    <row r="3"/>
    <row r="4">
      <c r="A4" s="2" t="inlineStr">
        <is>
          <t>CENÁRIO BAIXO</t>
        </is>
      </c>
      <c r="B4" s="7" t="n"/>
      <c r="C4" s="7" t="n"/>
      <c r="D4" s="7" t="n"/>
      <c r="E4" s="7" t="n"/>
      <c r="F4" s="7" t="n"/>
      <c r="G4" s="7" t="n"/>
    </row>
    <row r="5" ht="28" customHeight="1">
      <c r="A5" s="6" t="inlineStr">
        <is>
          <t>Indicador</t>
        </is>
      </c>
      <c r="B5" s="6" t="inlineStr"/>
      <c r="C5" s="6" t="inlineStr">
        <is>
          <t>Via 1 — ENI simplificado</t>
        </is>
      </c>
      <c r="D5" s="6" t="inlineStr">
        <is>
          <t>Via 2 — ENI cont. organizada</t>
        </is>
      </c>
      <c r="E5" s="6" t="inlineStr">
        <is>
          <t>Via 3 — Soc. transparente</t>
        </is>
      </c>
      <c r="F5" s="6" t="inlineStr">
        <is>
          <t>Via 4 — Soc. não transparente</t>
        </is>
      </c>
      <c r="G5" s="6" t="inlineStr">
        <is>
          <t>Nota</t>
        </is>
      </c>
    </row>
    <row r="6">
      <c r="A6" s="8" t="inlineStr">
        <is>
          <t>Caixa gerada pela atividade</t>
        </is>
      </c>
      <c r="C6" s="35">
        <f>V1_ENI_Simplificado!$C$39</f>
        <v/>
      </c>
      <c r="D6" s="35">
        <f>V2_ENI_ContOrg!$C$28</f>
        <v/>
      </c>
      <c r="E6" s="35">
        <f>V3_Soc_Transparente!$C$34</f>
        <v/>
      </c>
      <c r="F6" s="35">
        <f>V4_Soc_NaoTransparente!$C$42</f>
        <v/>
      </c>
      <c r="G6" s="17" t="inlineStr">
        <is>
          <t>Idêntica nas quatro vias, por construção.</t>
        </is>
      </c>
    </row>
    <row r="7">
      <c r="A7" s="8" t="inlineStr">
        <is>
          <t>IRS imputável à atividade</t>
        </is>
      </c>
      <c r="C7" s="35">
        <f>V1_ENI_Simplificado!$C$36</f>
        <v/>
      </c>
      <c r="D7" s="35">
        <f>V2_ENI_ContOrg!$C$25</f>
        <v/>
      </c>
      <c r="E7" s="35">
        <f>V3_Soc_Transparente!$C$31</f>
        <v/>
      </c>
      <c r="F7" s="35">
        <f>V4_Soc_NaoTransparente!$C$38</f>
        <v/>
      </c>
      <c r="G7" s="17" t="inlineStr"/>
    </row>
    <row r="8">
      <c r="A8" s="8" t="inlineStr">
        <is>
          <t>Segurança Social (todas as componentes)</t>
        </is>
      </c>
      <c r="C8" s="35">
        <f>V1_ENI_Simplificado!$C$23</f>
        <v/>
      </c>
      <c r="D8" s="35">
        <f>V2_ENI_ContOrg!$C$13</f>
        <v/>
      </c>
      <c r="E8" s="35">
        <f>V3_Soc_Transparente!$C$18+V3_Soc_Transparente!$C$12</f>
        <v/>
      </c>
      <c r="F8" s="35">
        <f>V4_Soc_NaoTransparente!$C$40+V4_Soc_NaoTransparente!$C$13</f>
        <v/>
      </c>
      <c r="G8" s="17" t="inlineStr">
        <is>
          <t>Vias 1 e 2: contribuição do trabalhador independente. Vias 3 e 4: contribuições do MOE, a cargo da sócia e da sociedade.</t>
        </is>
      </c>
    </row>
    <row r="9">
      <c r="A9" s="8" t="inlineStr">
        <is>
          <t>IRC, derrama e tributações autónomas</t>
        </is>
      </c>
      <c r="C9" s="35">
        <f>0</f>
        <v/>
      </c>
      <c r="D9" s="35">
        <f>0</f>
        <v/>
      </c>
      <c r="E9" s="35">
        <f>V3_Soc_Transparente!$C$14+V3_Soc_Transparente!$C$15</f>
        <v/>
      </c>
      <c r="F9" s="35">
        <f>V4_Soc_NaoTransparente!$C$15+V4_Soc_NaoTransparente!$C$16+V4_Soc_NaoTransparente!$C$17</f>
        <v/>
      </c>
      <c r="G9" s="17" t="inlineStr"/>
    </row>
    <row r="10">
      <c r="A10" s="8" t="inlineStr">
        <is>
          <t>Imposto sobre a distribuição</t>
        </is>
      </c>
      <c r="C10" s="35">
        <f>0</f>
        <v/>
      </c>
      <c r="D10" s="35">
        <f>0</f>
        <v/>
      </c>
      <c r="E10" s="35">
        <f>0</f>
        <v/>
      </c>
      <c r="F10" s="35">
        <f>V4_Soc_NaoTransparente!$C$27</f>
        <v/>
      </c>
      <c r="G10" s="17" t="inlineStr"/>
    </row>
    <row r="11">
      <c r="A11" s="22" t="inlineStr">
        <is>
          <t>TOTAL DE IMPOSTOS E CONTRIBUIÇÕES</t>
        </is>
      </c>
      <c r="C11" s="27">
        <f>V1_ENI_Simplificado!$C$40</f>
        <v/>
      </c>
      <c r="D11" s="27">
        <f>V2_ENI_ContOrg!$C$29</f>
        <v/>
      </c>
      <c r="E11" s="27">
        <f>V3_Soc_Transparente!$C$35</f>
        <v/>
      </c>
      <c r="F11" s="27">
        <f>V4_Soc_NaoTransparente!$C$43</f>
        <v/>
      </c>
      <c r="G11" s="17" t="inlineStr"/>
    </row>
    <row r="12">
      <c r="A12" s="8" t="inlineStr">
        <is>
          <t>Taxa de esforço sobre a caixa gerada</t>
        </is>
      </c>
      <c r="C12" s="36">
        <f>V1_ENI_Simplificado!$C$41</f>
        <v/>
      </c>
      <c r="D12" s="36">
        <f>V2_ENI_ContOrg!$C$30</f>
        <v/>
      </c>
      <c r="E12" s="36">
        <f>V3_Soc_Transparente!$C$36</f>
        <v/>
      </c>
      <c r="F12" s="36">
        <f>V4_Soc_NaoTransparente!$C$44</f>
        <v/>
      </c>
      <c r="G12" s="17" t="inlineStr"/>
    </row>
    <row r="13">
      <c r="A13" s="8" t="inlineStr">
        <is>
          <t>Valor retido na sociedade</t>
        </is>
      </c>
      <c r="C13" s="35">
        <f>V1_ENI_Simplificado!$C$42</f>
        <v/>
      </c>
      <c r="D13" s="35">
        <f>V2_ENI_ContOrg!$C$31</f>
        <v/>
      </c>
      <c r="E13" s="35">
        <f>V3_Soc_Transparente!$C$37</f>
        <v/>
      </c>
      <c r="F13" s="35">
        <f>V4_Soc_NaoTransparente!$C$45</f>
        <v/>
      </c>
      <c r="G13" s="17" t="inlineStr">
        <is>
          <t>Não é perda, mas também não é liquidez da sócia. Tem de aparecer separado.</t>
        </is>
      </c>
    </row>
    <row r="14">
      <c r="A14" s="8" t="inlineStr">
        <is>
          <t>Valor atribuído ao cônjuge</t>
        </is>
      </c>
      <c r="C14" s="35">
        <f>V1_ENI_Simplificado!$C$43</f>
        <v/>
      </c>
      <c r="D14" s="35">
        <f>V2_ENI_ContOrg!$C$32</f>
        <v/>
      </c>
      <c r="E14" s="35">
        <f>V3_Soc_Transparente!$C$38</f>
        <v/>
      </c>
      <c r="F14" s="35">
        <f>V4_Soc_NaoTransparente!$C$46</f>
        <v/>
      </c>
      <c r="G14" s="17" t="inlineStr"/>
    </row>
    <row r="15">
      <c r="A15" s="22" t="inlineStr">
        <is>
          <t>LÍQUIDO DISPONÍVEL PARA A SÓCIA</t>
        </is>
      </c>
      <c r="C15" s="27">
        <f>V1_ENI_Simplificado!$C$44</f>
        <v/>
      </c>
      <c r="D15" s="27">
        <f>V2_ENI_ContOrg!$C$33</f>
        <v/>
      </c>
      <c r="E15" s="27">
        <f>V3_Soc_Transparente!$C$39</f>
        <v/>
      </c>
      <c r="F15" s="27">
        <f>V4_Soc_NaoTransparente!$C$47</f>
        <v/>
      </c>
      <c r="G15" s="17" t="inlineStr">
        <is>
          <t>Indicador de decisão.</t>
        </is>
      </c>
    </row>
    <row r="16">
      <c r="A16" s="22" t="inlineStr">
        <is>
          <t>LÍQUIDO DISPONÍVEL PARA O AGREGADO</t>
        </is>
      </c>
      <c r="C16" s="27">
        <f>V1_ENI_Simplificado!$C$45</f>
        <v/>
      </c>
      <c r="D16" s="27">
        <f>V2_ENI_ContOrg!$C$34</f>
        <v/>
      </c>
      <c r="E16" s="27">
        <f>V3_Soc_Transparente!$C$40</f>
        <v/>
      </c>
      <c r="F16" s="27">
        <f>V4_Soc_NaoTransparente!$C$48</f>
        <v/>
      </c>
      <c r="G16" s="17" t="inlineStr"/>
    </row>
    <row r="17">
      <c r="A17" s="8" t="inlineStr">
        <is>
          <t>Diferencial face à via 1 (líquido para a sócia)</t>
        </is>
      </c>
      <c r="C17" s="28">
        <f>C15-$C$15</f>
        <v/>
      </c>
      <c r="D17" s="28">
        <f>D15-$C$15</f>
        <v/>
      </c>
      <c r="E17" s="28">
        <f>E15-$C$15</f>
        <v/>
      </c>
      <c r="F17" s="28">
        <f>F15-$C$15</f>
        <v/>
      </c>
    </row>
    <row r="18">
      <c r="A18" s="22" t="inlineStr">
        <is>
          <t>Via com maior líquido para a sócia</t>
        </is>
      </c>
      <c r="C18" s="26">
        <f>INDEX($C$5:$F$5,1,MATCH(MAX($C$15:$F$15),$C$15:$F$15,0))</f>
        <v/>
      </c>
      <c r="D18" s="39" t="n"/>
      <c r="E18" s="39" t="n"/>
      <c r="F18" s="40" t="n"/>
    </row>
    <row r="19"/>
    <row r="20"/>
    <row r="21">
      <c r="A21" s="2" t="inlineStr">
        <is>
          <t>CENÁRIO BASE</t>
        </is>
      </c>
      <c r="B21" s="7" t="n"/>
      <c r="C21" s="7" t="n"/>
      <c r="D21" s="7" t="n"/>
      <c r="E21" s="7" t="n"/>
      <c r="F21" s="7" t="n"/>
      <c r="G21" s="7" t="n"/>
    </row>
    <row r="22" ht="28" customHeight="1">
      <c r="A22" s="6" t="inlineStr">
        <is>
          <t>Indicador</t>
        </is>
      </c>
      <c r="B22" s="6" t="inlineStr"/>
      <c r="C22" s="6" t="inlineStr">
        <is>
          <t>Via 1 — ENI simplificado</t>
        </is>
      </c>
      <c r="D22" s="6" t="inlineStr">
        <is>
          <t>Via 2 — ENI cont. organizada</t>
        </is>
      </c>
      <c r="E22" s="6" t="inlineStr">
        <is>
          <t>Via 3 — Soc. transparente</t>
        </is>
      </c>
      <c r="F22" s="6" t="inlineStr">
        <is>
          <t>Via 4 — Soc. não transparente</t>
        </is>
      </c>
      <c r="G22" s="6" t="inlineStr">
        <is>
          <t>Nota</t>
        </is>
      </c>
    </row>
    <row r="23">
      <c r="A23" s="8" t="inlineStr">
        <is>
          <t>Caixa gerada pela atividade</t>
        </is>
      </c>
      <c r="C23" s="35">
        <f>V1_ENI_Simplificado!$D$39</f>
        <v/>
      </c>
      <c r="D23" s="35">
        <f>V2_ENI_ContOrg!$D$28</f>
        <v/>
      </c>
      <c r="E23" s="35">
        <f>V3_Soc_Transparente!$D$34</f>
        <v/>
      </c>
      <c r="F23" s="35">
        <f>V4_Soc_NaoTransparente!$D$42</f>
        <v/>
      </c>
      <c r="G23" s="17" t="inlineStr">
        <is>
          <t>Idêntica nas quatro vias, por construção.</t>
        </is>
      </c>
    </row>
    <row r="24">
      <c r="A24" s="8" t="inlineStr">
        <is>
          <t>IRS imputável à atividade</t>
        </is>
      </c>
      <c r="C24" s="35">
        <f>V1_ENI_Simplificado!$D$36</f>
        <v/>
      </c>
      <c r="D24" s="35">
        <f>V2_ENI_ContOrg!$D$25</f>
        <v/>
      </c>
      <c r="E24" s="35">
        <f>V3_Soc_Transparente!$D$31</f>
        <v/>
      </c>
      <c r="F24" s="35">
        <f>V4_Soc_NaoTransparente!$D$38</f>
        <v/>
      </c>
      <c r="G24" s="17" t="inlineStr"/>
    </row>
    <row r="25">
      <c r="A25" s="8" t="inlineStr">
        <is>
          <t>Segurança Social (todas as componentes)</t>
        </is>
      </c>
      <c r="C25" s="35">
        <f>V1_ENI_Simplificado!$D$23</f>
        <v/>
      </c>
      <c r="D25" s="35">
        <f>V2_ENI_ContOrg!$D$13</f>
        <v/>
      </c>
      <c r="E25" s="35">
        <f>V3_Soc_Transparente!$D$18+V3_Soc_Transparente!$D$12</f>
        <v/>
      </c>
      <c r="F25" s="35">
        <f>V4_Soc_NaoTransparente!$D$40+V4_Soc_NaoTransparente!$D$13</f>
        <v/>
      </c>
      <c r="G25" s="17" t="inlineStr">
        <is>
          <t>Vias 1 e 2: contribuição do trabalhador independente. Vias 3 e 4: contribuições do MOE, a cargo da sócia e da sociedade.</t>
        </is>
      </c>
    </row>
    <row r="26">
      <c r="A26" s="8" t="inlineStr">
        <is>
          <t>IRC, derrama e tributações autónomas</t>
        </is>
      </c>
      <c r="C26" s="35">
        <f>0</f>
        <v/>
      </c>
      <c r="D26" s="35">
        <f>0</f>
        <v/>
      </c>
      <c r="E26" s="35">
        <f>V3_Soc_Transparente!$D$14+V3_Soc_Transparente!$D$15</f>
        <v/>
      </c>
      <c r="F26" s="35">
        <f>V4_Soc_NaoTransparente!$D$15+V4_Soc_NaoTransparente!$D$16+V4_Soc_NaoTransparente!$D$17</f>
        <v/>
      </c>
      <c r="G26" s="17" t="inlineStr"/>
    </row>
    <row r="27">
      <c r="A27" s="8" t="inlineStr">
        <is>
          <t>Imposto sobre a distribuição</t>
        </is>
      </c>
      <c r="C27" s="35">
        <f>0</f>
        <v/>
      </c>
      <c r="D27" s="35">
        <f>0</f>
        <v/>
      </c>
      <c r="E27" s="35">
        <f>0</f>
        <v/>
      </c>
      <c r="F27" s="35">
        <f>V4_Soc_NaoTransparente!$D$27</f>
        <v/>
      </c>
      <c r="G27" s="17" t="inlineStr"/>
    </row>
    <row r="28">
      <c r="A28" s="22" t="inlineStr">
        <is>
          <t>TOTAL DE IMPOSTOS E CONTRIBUIÇÕES</t>
        </is>
      </c>
      <c r="C28" s="27">
        <f>V1_ENI_Simplificado!$D$40</f>
        <v/>
      </c>
      <c r="D28" s="27">
        <f>V2_ENI_ContOrg!$D$29</f>
        <v/>
      </c>
      <c r="E28" s="27">
        <f>V3_Soc_Transparente!$D$35</f>
        <v/>
      </c>
      <c r="F28" s="27">
        <f>V4_Soc_NaoTransparente!$D$43</f>
        <v/>
      </c>
      <c r="G28" s="17" t="inlineStr"/>
    </row>
    <row r="29">
      <c r="A29" s="8" t="inlineStr">
        <is>
          <t>Taxa de esforço sobre a caixa gerada</t>
        </is>
      </c>
      <c r="C29" s="36">
        <f>V1_ENI_Simplificado!$D$41</f>
        <v/>
      </c>
      <c r="D29" s="36">
        <f>V2_ENI_ContOrg!$D$30</f>
        <v/>
      </c>
      <c r="E29" s="36">
        <f>V3_Soc_Transparente!$D$36</f>
        <v/>
      </c>
      <c r="F29" s="36">
        <f>V4_Soc_NaoTransparente!$D$44</f>
        <v/>
      </c>
      <c r="G29" s="17" t="inlineStr"/>
    </row>
    <row r="30">
      <c r="A30" s="8" t="inlineStr">
        <is>
          <t>Valor retido na sociedade</t>
        </is>
      </c>
      <c r="C30" s="35">
        <f>V1_ENI_Simplificado!$D$42</f>
        <v/>
      </c>
      <c r="D30" s="35">
        <f>V2_ENI_ContOrg!$D$31</f>
        <v/>
      </c>
      <c r="E30" s="35">
        <f>V3_Soc_Transparente!$D$37</f>
        <v/>
      </c>
      <c r="F30" s="35">
        <f>V4_Soc_NaoTransparente!$D$45</f>
        <v/>
      </c>
      <c r="G30" s="17" t="inlineStr">
        <is>
          <t>Não é perda, mas também não é liquidez da sócia. Tem de aparecer separado.</t>
        </is>
      </c>
    </row>
    <row r="31">
      <c r="A31" s="8" t="inlineStr">
        <is>
          <t>Valor atribuído ao cônjuge</t>
        </is>
      </c>
      <c r="C31" s="35">
        <f>V1_ENI_Simplificado!$D$43</f>
        <v/>
      </c>
      <c r="D31" s="35">
        <f>V2_ENI_ContOrg!$D$32</f>
        <v/>
      </c>
      <c r="E31" s="35">
        <f>V3_Soc_Transparente!$D$38</f>
        <v/>
      </c>
      <c r="F31" s="35">
        <f>V4_Soc_NaoTransparente!$D$46</f>
        <v/>
      </c>
      <c r="G31" s="17" t="inlineStr"/>
    </row>
    <row r="32">
      <c r="A32" s="22" t="inlineStr">
        <is>
          <t>LÍQUIDO DISPONÍVEL PARA A SÓCIA</t>
        </is>
      </c>
      <c r="C32" s="27">
        <f>V1_ENI_Simplificado!$D$44</f>
        <v/>
      </c>
      <c r="D32" s="27">
        <f>V2_ENI_ContOrg!$D$33</f>
        <v/>
      </c>
      <c r="E32" s="27">
        <f>V3_Soc_Transparente!$D$39</f>
        <v/>
      </c>
      <c r="F32" s="27">
        <f>V4_Soc_NaoTransparente!$D$47</f>
        <v/>
      </c>
      <c r="G32" s="17" t="inlineStr">
        <is>
          <t>Indicador de decisão.</t>
        </is>
      </c>
    </row>
    <row r="33">
      <c r="A33" s="22" t="inlineStr">
        <is>
          <t>LÍQUIDO DISPONÍVEL PARA O AGREGADO</t>
        </is>
      </c>
      <c r="C33" s="27">
        <f>V1_ENI_Simplificado!$D$45</f>
        <v/>
      </c>
      <c r="D33" s="27">
        <f>V2_ENI_ContOrg!$D$34</f>
        <v/>
      </c>
      <c r="E33" s="27">
        <f>V3_Soc_Transparente!$D$40</f>
        <v/>
      </c>
      <c r="F33" s="27">
        <f>V4_Soc_NaoTransparente!$D$48</f>
        <v/>
      </c>
      <c r="G33" s="17" t="inlineStr"/>
    </row>
    <row r="34">
      <c r="A34" s="8" t="inlineStr">
        <is>
          <t>Diferencial face à via 1 (líquido para a sócia)</t>
        </is>
      </c>
      <c r="C34" s="28">
        <f>C32-$C$32</f>
        <v/>
      </c>
      <c r="D34" s="28">
        <f>D32-$C$32</f>
        <v/>
      </c>
      <c r="E34" s="28">
        <f>E32-$C$32</f>
        <v/>
      </c>
      <c r="F34" s="28">
        <f>F32-$C$32</f>
        <v/>
      </c>
    </row>
    <row r="35">
      <c r="A35" s="22" t="inlineStr">
        <is>
          <t>Via com maior líquido para a sócia</t>
        </is>
      </c>
      <c r="C35" s="26">
        <f>INDEX($C$22:$F$22,1,MATCH(MAX($C$32:$F$32),$C$32:$F$32,0))</f>
        <v/>
      </c>
      <c r="D35" s="39" t="n"/>
      <c r="E35" s="39" t="n"/>
      <c r="F35" s="40" t="n"/>
    </row>
    <row r="36"/>
    <row r="37"/>
    <row r="38">
      <c r="A38" s="2" t="inlineStr">
        <is>
          <t>CENÁRIO ALTO</t>
        </is>
      </c>
      <c r="B38" s="7" t="n"/>
      <c r="C38" s="7" t="n"/>
      <c r="D38" s="7" t="n"/>
      <c r="E38" s="7" t="n"/>
      <c r="F38" s="7" t="n"/>
      <c r="G38" s="7" t="n"/>
    </row>
    <row r="39" ht="28" customHeight="1">
      <c r="A39" s="6" t="inlineStr">
        <is>
          <t>Indicador</t>
        </is>
      </c>
      <c r="B39" s="6" t="inlineStr"/>
      <c r="C39" s="6" t="inlineStr">
        <is>
          <t>Via 1 — ENI simplificado</t>
        </is>
      </c>
      <c r="D39" s="6" t="inlineStr">
        <is>
          <t>Via 2 — ENI cont. organizada</t>
        </is>
      </c>
      <c r="E39" s="6" t="inlineStr">
        <is>
          <t>Via 3 — Soc. transparente</t>
        </is>
      </c>
      <c r="F39" s="6" t="inlineStr">
        <is>
          <t>Via 4 — Soc. não transparente</t>
        </is>
      </c>
      <c r="G39" s="6" t="inlineStr">
        <is>
          <t>Nota</t>
        </is>
      </c>
    </row>
    <row r="40">
      <c r="A40" s="8" t="inlineStr">
        <is>
          <t>Caixa gerada pela atividade</t>
        </is>
      </c>
      <c r="C40" s="35">
        <f>V1_ENI_Simplificado!$E$39</f>
        <v/>
      </c>
      <c r="D40" s="35">
        <f>V2_ENI_ContOrg!$E$28</f>
        <v/>
      </c>
      <c r="E40" s="35">
        <f>V3_Soc_Transparente!$E$34</f>
        <v/>
      </c>
      <c r="F40" s="35">
        <f>V4_Soc_NaoTransparente!$E$42</f>
        <v/>
      </c>
      <c r="G40" s="17" t="inlineStr">
        <is>
          <t>Idêntica nas quatro vias, por construção.</t>
        </is>
      </c>
    </row>
    <row r="41">
      <c r="A41" s="8" t="inlineStr">
        <is>
          <t>IRS imputável à atividade</t>
        </is>
      </c>
      <c r="C41" s="35">
        <f>V1_ENI_Simplificado!$E$36</f>
        <v/>
      </c>
      <c r="D41" s="35">
        <f>V2_ENI_ContOrg!$E$25</f>
        <v/>
      </c>
      <c r="E41" s="35">
        <f>V3_Soc_Transparente!$E$31</f>
        <v/>
      </c>
      <c r="F41" s="35">
        <f>V4_Soc_NaoTransparente!$E$38</f>
        <v/>
      </c>
      <c r="G41" s="17" t="inlineStr"/>
    </row>
    <row r="42">
      <c r="A42" s="8" t="inlineStr">
        <is>
          <t>Segurança Social (todas as componentes)</t>
        </is>
      </c>
      <c r="C42" s="35">
        <f>V1_ENI_Simplificado!$E$23</f>
        <v/>
      </c>
      <c r="D42" s="35">
        <f>V2_ENI_ContOrg!$E$13</f>
        <v/>
      </c>
      <c r="E42" s="35">
        <f>V3_Soc_Transparente!$E$18+V3_Soc_Transparente!$E$12</f>
        <v/>
      </c>
      <c r="F42" s="35">
        <f>V4_Soc_NaoTransparente!$E$40+V4_Soc_NaoTransparente!$E$13</f>
        <v/>
      </c>
      <c r="G42" s="17" t="inlineStr">
        <is>
          <t>Vias 1 e 2: contribuição do trabalhador independente. Vias 3 e 4: contribuições do MOE, a cargo da sócia e da sociedade.</t>
        </is>
      </c>
    </row>
    <row r="43">
      <c r="A43" s="8" t="inlineStr">
        <is>
          <t>IRC, derrama e tributações autónomas</t>
        </is>
      </c>
      <c r="C43" s="35">
        <f>0</f>
        <v/>
      </c>
      <c r="D43" s="35">
        <f>0</f>
        <v/>
      </c>
      <c r="E43" s="35">
        <f>V3_Soc_Transparente!$E$14+V3_Soc_Transparente!$E$15</f>
        <v/>
      </c>
      <c r="F43" s="35">
        <f>V4_Soc_NaoTransparente!$E$15+V4_Soc_NaoTransparente!$E$16+V4_Soc_NaoTransparente!$E$17</f>
        <v/>
      </c>
      <c r="G43" s="17" t="inlineStr"/>
    </row>
    <row r="44">
      <c r="A44" s="8" t="inlineStr">
        <is>
          <t>Imposto sobre a distribuição</t>
        </is>
      </c>
      <c r="C44" s="35">
        <f>0</f>
        <v/>
      </c>
      <c r="D44" s="35">
        <f>0</f>
        <v/>
      </c>
      <c r="E44" s="35">
        <f>0</f>
        <v/>
      </c>
      <c r="F44" s="35">
        <f>V4_Soc_NaoTransparente!$E$27</f>
        <v/>
      </c>
      <c r="G44" s="17" t="inlineStr"/>
    </row>
    <row r="45">
      <c r="A45" s="22" t="inlineStr">
        <is>
          <t>TOTAL DE IMPOSTOS E CONTRIBUIÇÕES</t>
        </is>
      </c>
      <c r="C45" s="27">
        <f>V1_ENI_Simplificado!$E$40</f>
        <v/>
      </c>
      <c r="D45" s="27">
        <f>V2_ENI_ContOrg!$E$29</f>
        <v/>
      </c>
      <c r="E45" s="27">
        <f>V3_Soc_Transparente!$E$35</f>
        <v/>
      </c>
      <c r="F45" s="27">
        <f>V4_Soc_NaoTransparente!$E$43</f>
        <v/>
      </c>
      <c r="G45" s="17" t="inlineStr"/>
    </row>
    <row r="46">
      <c r="A46" s="8" t="inlineStr">
        <is>
          <t>Taxa de esforço sobre a caixa gerada</t>
        </is>
      </c>
      <c r="C46" s="36">
        <f>V1_ENI_Simplificado!$E$41</f>
        <v/>
      </c>
      <c r="D46" s="36">
        <f>V2_ENI_ContOrg!$E$30</f>
        <v/>
      </c>
      <c r="E46" s="36">
        <f>V3_Soc_Transparente!$E$36</f>
        <v/>
      </c>
      <c r="F46" s="36">
        <f>V4_Soc_NaoTransparente!$E$44</f>
        <v/>
      </c>
      <c r="G46" s="17" t="inlineStr"/>
    </row>
    <row r="47">
      <c r="A47" s="8" t="inlineStr">
        <is>
          <t>Valor retido na sociedade</t>
        </is>
      </c>
      <c r="C47" s="35">
        <f>V1_ENI_Simplificado!$E$42</f>
        <v/>
      </c>
      <c r="D47" s="35">
        <f>V2_ENI_ContOrg!$E$31</f>
        <v/>
      </c>
      <c r="E47" s="35">
        <f>V3_Soc_Transparente!$E$37</f>
        <v/>
      </c>
      <c r="F47" s="35">
        <f>V4_Soc_NaoTransparente!$E$45</f>
        <v/>
      </c>
      <c r="G47" s="17" t="inlineStr">
        <is>
          <t>Não é perda, mas também não é liquidez da sócia. Tem de aparecer separado.</t>
        </is>
      </c>
    </row>
    <row r="48">
      <c r="A48" s="8" t="inlineStr">
        <is>
          <t>Valor atribuído ao cônjuge</t>
        </is>
      </c>
      <c r="C48" s="35">
        <f>V1_ENI_Simplificado!$E$43</f>
        <v/>
      </c>
      <c r="D48" s="35">
        <f>V2_ENI_ContOrg!$E$32</f>
        <v/>
      </c>
      <c r="E48" s="35">
        <f>V3_Soc_Transparente!$E$38</f>
        <v/>
      </c>
      <c r="F48" s="35">
        <f>V4_Soc_NaoTransparente!$E$46</f>
        <v/>
      </c>
      <c r="G48" s="17" t="inlineStr"/>
    </row>
    <row r="49">
      <c r="A49" s="22" t="inlineStr">
        <is>
          <t>LÍQUIDO DISPONÍVEL PARA A SÓCIA</t>
        </is>
      </c>
      <c r="C49" s="27">
        <f>V1_ENI_Simplificado!$E$44</f>
        <v/>
      </c>
      <c r="D49" s="27">
        <f>V2_ENI_ContOrg!$E$33</f>
        <v/>
      </c>
      <c r="E49" s="27">
        <f>V3_Soc_Transparente!$E$39</f>
        <v/>
      </c>
      <c r="F49" s="27">
        <f>V4_Soc_NaoTransparente!$E$47</f>
        <v/>
      </c>
      <c r="G49" s="17" t="inlineStr">
        <is>
          <t>Indicador de decisão.</t>
        </is>
      </c>
    </row>
    <row r="50">
      <c r="A50" s="22" t="inlineStr">
        <is>
          <t>LÍQUIDO DISPONÍVEL PARA O AGREGADO</t>
        </is>
      </c>
      <c r="C50" s="27">
        <f>V1_ENI_Simplificado!$E$45</f>
        <v/>
      </c>
      <c r="D50" s="27">
        <f>V2_ENI_ContOrg!$E$34</f>
        <v/>
      </c>
      <c r="E50" s="27">
        <f>V3_Soc_Transparente!$E$40</f>
        <v/>
      </c>
      <c r="F50" s="27">
        <f>V4_Soc_NaoTransparente!$E$48</f>
        <v/>
      </c>
      <c r="G50" s="17" t="inlineStr"/>
    </row>
    <row r="51">
      <c r="A51" s="8" t="inlineStr">
        <is>
          <t>Diferencial face à via 1 (líquido para a sócia)</t>
        </is>
      </c>
      <c r="C51" s="28">
        <f>C49-$C$49</f>
        <v/>
      </c>
      <c r="D51" s="28">
        <f>D49-$C$49</f>
        <v/>
      </c>
      <c r="E51" s="28">
        <f>E49-$C$49</f>
        <v/>
      </c>
      <c r="F51" s="28">
        <f>F49-$C$49</f>
        <v/>
      </c>
    </row>
    <row r="52">
      <c r="A52" s="22" t="inlineStr">
        <is>
          <t>Via com maior líquido para a sócia</t>
        </is>
      </c>
      <c r="C52" s="26">
        <f>INDEX($C$39:$F$39,1,MATCH(MAX($C$49:$F$49),$C$49:$F$49,0))</f>
        <v/>
      </c>
      <c r="D52" s="39" t="n"/>
      <c r="E52" s="39" t="n"/>
      <c r="F52" s="40" t="n"/>
    </row>
    <row r="53"/>
    <row r="54"/>
    <row r="55">
      <c r="A55" s="5" t="inlineStr">
        <is>
          <t>Leitura obrigatória antes de citar qualquer número: os inputs são placeholders. Estes resultados demonstram que o motor funciona e indicam a direção do efeito; não são conclusões sobre o caso da Dra. Júlia.</t>
        </is>
      </c>
    </row>
    <row r="56"/>
    <row r="57">
      <c r="A57" s="2" t="inlineStr">
        <is>
          <t>AVISO DE COERÊNCIA — o ano 1 não é o ano de cruzeiro</t>
        </is>
      </c>
      <c r="B57" s="7" t="n"/>
      <c r="C57" s="7" t="n"/>
      <c r="D57" s="7" t="n"/>
      <c r="E57" s="7" t="n"/>
      <c r="F57" s="7" t="n"/>
      <c r="G57" s="7" t="n"/>
    </row>
    <row r="58">
      <c r="A58" s="22" t="inlineStr">
        <is>
          <t>Receita usada nesta comparação (ano de cruzeiro)</t>
        </is>
      </c>
      <c r="C58" s="27">
        <f>BreakEven!$D$6</f>
        <v/>
      </c>
      <c r="D58" s="39" t="n"/>
      <c r="E58" s="39" t="n"/>
      <c r="F58" s="40" t="n"/>
      <c r="G58" s="17" t="inlineStr">
        <is>
          <t>Pressupõe a clínica à ocupação de regime permanente desde o primeiro dia.</t>
        </is>
      </c>
    </row>
    <row r="59">
      <c r="A59" s="22" t="inlineStr">
        <is>
          <t>Faturação real do ano 1, com rampa de arranque</t>
        </is>
      </c>
      <c r="C59" s="27">
        <f>Tesouraria!$O$15</f>
        <v/>
      </c>
      <c r="D59" s="39" t="n"/>
      <c r="E59" s="39" t="n"/>
      <c r="F59" s="40" t="n"/>
      <c r="G59" s="17" t="inlineStr">
        <is>
          <t>Da folha Tesouraria, que modela a subida mês a mês.</t>
        </is>
      </c>
    </row>
    <row r="60">
      <c r="A60" s="22" t="inlineStr">
        <is>
          <t>Diferença</t>
        </is>
      </c>
      <c r="C60" s="25">
        <f>IF($C$58&lt;=0,0,$C$59/$C$58-1)</f>
        <v/>
      </c>
      <c r="D60" s="39" t="n"/>
      <c r="E60" s="39" t="n"/>
      <c r="F60" s="40" t="n"/>
      <c r="G60" s="17" t="inlineStr">
        <is>
          <t>É por esta percentagem que o líquido do ano 1 fica abaixo dos valores da tabela acima.</t>
        </is>
      </c>
    </row>
    <row r="61"/>
    <row r="62" ht="58" customHeight="1">
      <c r="A62" s="20" t="inlineStr">
        <is>
          <t>Os valores da tabela acima são de ANO DE CRUZEIRO. O primeiro ano é mais pobre, porque a clínica não abre cheia, e é também o ano do investimento. Dizer à cliente «com esta estrutura fica com X por ano» sem esta ressalva é criar uma expectativa que o primeiro ano não cumpre. O número do ano 1 está na folha Tesouraria; o desta tabela é o que ela passa a ter quando a clínica estabilizar.</t>
        </is>
      </c>
    </row>
  </sheetData>
  <sheetProtection selectLockedCells="0" selectUnlockedCells="0" sheet="1" objects="0" insertRows="1" insertHyperlinks="1" autoFilter="1" scenarios="0" formatColumns="1" deleteColumns="1" insertColumns="1" pivotTables="1" deleteRows="1" formatCells="0" formatRows="1" sort="1"/>
  <mergeCells count="9">
    <mergeCell ref="C52:F52"/>
    <mergeCell ref="C18:F18"/>
    <mergeCell ref="C35:F35"/>
    <mergeCell ref="A55:G55"/>
    <mergeCell ref="C60:F60"/>
    <mergeCell ref="A62:G62"/>
    <mergeCell ref="C59:F59"/>
    <mergeCell ref="A2:G2"/>
    <mergeCell ref="C58:F58"/>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29"/>
  <sheetViews>
    <sheetView showGridLines="0" workbookViewId="0">
      <pane ySplit="9" topLeftCell="A10" activePane="bottomLeft" state="frozen"/>
      <selection pane="bottomLeft" activeCell="A1" sqref="A1"/>
    </sheetView>
  </sheetViews>
  <sheetFormatPr baseColWidth="8" defaultRowHeight="15"/>
  <cols>
    <col width="13" customWidth="1" min="1" max="1"/>
    <col width="15" customWidth="1" min="2" max="2"/>
    <col width="16" customWidth="1" min="3" max="3"/>
    <col width="14" customWidth="1" min="4" max="4"/>
    <col width="14" customWidth="1" min="5" max="5"/>
    <col width="15" customWidth="1" min="6" max="6"/>
    <col width="16" customWidth="1" min="7" max="7"/>
    <col width="14" customWidth="1" min="8" max="8"/>
    <col width="14" customWidth="1" min="9" max="9"/>
    <col width="15" customWidth="1" min="10" max="10"/>
    <col width="15" customWidth="1" min="11" max="11"/>
    <col width="11" customWidth="1" min="12" max="12"/>
    <col width="14" customWidth="1" min="13" max="13"/>
    <col width="14" customWidth="1" min="14" max="14"/>
  </cols>
  <sheetData>
    <row r="1">
      <c r="A1" s="1" t="inlineStr">
        <is>
          <t>M1 — Ponto de viragem do regime simplificado</t>
        </is>
      </c>
    </row>
    <row r="2" ht="44" customHeight="1">
      <c r="A2" s="20" t="inlineStr">
        <is>
          <t>Responde à pergunta que a ata deixou em aberto: a partir de que nível de custos reais é que o regime simplificado deixa de compensar. Faturação fixada no cenário Base; varia-se o peso dos custos reais dedutíveis. Comparam-se apenas as vias 1 e 2, que é onde a questão se põe.</t>
        </is>
      </c>
    </row>
    <row r="3"/>
    <row r="4">
      <c r="A4" s="8" t="inlineStr">
        <is>
          <t>Rendimento bruto (cenário Base)</t>
        </is>
      </c>
      <c r="C4" s="41">
        <f>(Inputs!$D$42+Inputs!$D$43)</f>
        <v/>
      </c>
    </row>
    <row r="5">
      <c r="A5" s="8" t="inlineStr">
        <is>
          <t>Rendimento do cônjuge</t>
        </is>
      </c>
      <c r="C5" s="41">
        <f>Inputs!$D$37</f>
        <v/>
      </c>
    </row>
    <row r="6">
      <c r="A6" s="8" t="inlineStr">
        <is>
          <t>Fator do quociente conjugal</t>
        </is>
      </c>
      <c r="C6" s="42">
        <f>IF(Inputs!$D$38=1,2,1)</f>
        <v/>
      </c>
    </row>
    <row r="7">
      <c r="A7" s="8" t="inlineStr">
        <is>
          <t>Coleta do agregado sem a atividade (constante)</t>
        </is>
      </c>
      <c r="C7" s="43">
        <f>$C$6*(SUMPRODUCT((($C$5/$C$6)&gt;Parametros!$B$55:$B$63)*(($C$5/$C$6)-Parametros!$B$55:$B$63)*Parametros!$E$55:$E$63)+SUMPRODUCT((($C$5/$C$6)&gt;Parametros!$B$67:$B$68)*(($C$5/$C$6)-Parametros!$B$67:$B$68)*Parametros!$E$67:$E$68))</f>
        <v/>
      </c>
      <c r="E7" s="9" t="inlineStr">
        <is>
          <t>Calculada uma só vez. Antes era recalculada em cada linha da tabela, o que tornava cada fórmula ilegível. Ver A1, ponto 2.</t>
        </is>
      </c>
    </row>
    <row r="8"/>
    <row r="9" ht="28" customHeight="1">
      <c r="A9" s="6" t="inlineStr">
        <is>
          <t>% custos</t>
        </is>
      </c>
      <c r="B9" s="6" t="inlineStr">
        <is>
          <t>Custos reais</t>
        </is>
      </c>
      <c r="C9" s="6" t="inlineStr">
        <is>
          <t>Rend. líq. cat. B (via 1)</t>
        </is>
      </c>
      <c r="D9" s="6" t="inlineStr">
        <is>
          <t>SS via 1</t>
        </is>
      </c>
      <c r="E9" s="6" t="inlineStr">
        <is>
          <t>IRS via 1</t>
        </is>
      </c>
      <c r="F9" s="6" t="inlineStr">
        <is>
          <t>Carga via 1</t>
        </is>
      </c>
      <c r="G9" s="6" t="inlineStr">
        <is>
          <t>Lucro tribut. (via 2)</t>
        </is>
      </c>
      <c r="H9" s="6" t="inlineStr">
        <is>
          <t>SS via 2</t>
        </is>
      </c>
      <c r="I9" s="6" t="inlineStr">
        <is>
          <t>IRS via 2</t>
        </is>
      </c>
      <c r="J9" s="6" t="inlineStr">
        <is>
          <t>Carga via 2</t>
        </is>
      </c>
      <c r="K9" s="6" t="inlineStr">
        <is>
          <t>Diferencial</t>
        </is>
      </c>
      <c r="L9" s="6" t="inlineStr">
        <is>
          <t>Viragem</t>
        </is>
      </c>
      <c r="M9" s="6" t="inlineStr">
        <is>
          <t>RC ajustado v1</t>
        </is>
      </c>
      <c r="N9" s="6" t="inlineStr">
        <is>
          <t>RC ajustado v2</t>
        </is>
      </c>
    </row>
    <row r="10">
      <c r="A10" s="44" t="n">
        <v>0.05</v>
      </c>
      <c r="B10" s="28">
        <f>$C$4*A10</f>
        <v/>
      </c>
      <c r="C10" s="28">
        <f>$C$4*Parametros!$C$24+MAX(0,$C$4*Parametros!$C$25-(Parametros!$C$26+B10))-MAX(0,D10-$C$4*Parametros!$C$27)</f>
        <v/>
      </c>
      <c r="D10" s="28">
        <f>MAX(MIN($C$4*Parametros!$C$7,Parametros!$C$6*Parametros!$C$9*12)*Parametros!$C$8,Parametros!$C$10*12)</f>
        <v/>
      </c>
      <c r="E10" s="28">
        <f>$C$6*(SUMPRODUCT((M10&gt;Parametros!$B$55:$B$63)*(M10-Parametros!$B$55:$B$63)*Parametros!$E$55:$E$63)+SUMPRODUCT((M10&gt;Parametros!$B$67:$B$68)*(M10-Parametros!$B$67:$B$68)*Parametros!$E$67:$E$68))-$C$7</f>
        <v/>
      </c>
      <c r="F10" s="45">
        <f>D10+E10</f>
        <v/>
      </c>
      <c r="G10" s="28">
        <f>MAX(0,$C$4-B10-H10)</f>
        <v/>
      </c>
      <c r="H10" s="28">
        <f>MAX(MIN(MAX($C$4-B10,0),Parametros!$C$6*Parametros!$C$9*12)*Parametros!$C$8,Parametros!$C$10*12)</f>
        <v/>
      </c>
      <c r="I10" s="28">
        <f>$C$6*(SUMPRODUCT((N10&gt;Parametros!$B$55:$B$63)*(N10-Parametros!$B$55:$B$63)*Parametros!$E$55:$E$63)+SUMPRODUCT((N10&gt;Parametros!$B$67:$B$68)*(N10-Parametros!$B$67:$B$68)*Parametros!$E$67:$E$68))-$C$7</f>
        <v/>
      </c>
      <c r="J10" s="45">
        <f>H10+I10</f>
        <v/>
      </c>
      <c r="K10" s="28">
        <f>F10-J10</f>
        <v/>
      </c>
      <c r="L10" s="37">
        <f>0</f>
        <v/>
      </c>
      <c r="M10" s="46">
        <f>(C10+$C$5)/$C$6</f>
        <v/>
      </c>
      <c r="N10" s="46">
        <f>(G10+$C$5)/$C$6</f>
        <v/>
      </c>
    </row>
    <row r="11">
      <c r="A11" s="44" t="n">
        <v>0.1</v>
      </c>
      <c r="B11" s="28">
        <f>$C$4*A11</f>
        <v/>
      </c>
      <c r="C11" s="28">
        <f>$C$4*Parametros!$C$24+MAX(0,$C$4*Parametros!$C$25-(Parametros!$C$26+B11))-MAX(0,D11-$C$4*Parametros!$C$27)</f>
        <v/>
      </c>
      <c r="D11" s="28">
        <f>MAX(MIN($C$4*Parametros!$C$7,Parametros!$C$6*Parametros!$C$9*12)*Parametros!$C$8,Parametros!$C$10*12)</f>
        <v/>
      </c>
      <c r="E11" s="28">
        <f>$C$6*(SUMPRODUCT((M11&gt;Parametros!$B$55:$B$63)*(M11-Parametros!$B$55:$B$63)*Parametros!$E$55:$E$63)+SUMPRODUCT((M11&gt;Parametros!$B$67:$B$68)*(M11-Parametros!$B$67:$B$68)*Parametros!$E$67:$E$68))-$C$7</f>
        <v/>
      </c>
      <c r="F11" s="45">
        <f>D11+E11</f>
        <v/>
      </c>
      <c r="G11" s="28">
        <f>MAX(0,$C$4-B11-H11)</f>
        <v/>
      </c>
      <c r="H11" s="28">
        <f>MAX(MIN(MAX($C$4-B11,0),Parametros!$C$6*Parametros!$C$9*12)*Parametros!$C$8,Parametros!$C$10*12)</f>
        <v/>
      </c>
      <c r="I11" s="28">
        <f>$C$6*(SUMPRODUCT((N11&gt;Parametros!$B$55:$B$63)*(N11-Parametros!$B$55:$B$63)*Parametros!$E$55:$E$63)+SUMPRODUCT((N11&gt;Parametros!$B$67:$B$68)*(N11-Parametros!$B$67:$B$68)*Parametros!$E$67:$E$68))-$C$7</f>
        <v/>
      </c>
      <c r="J11" s="45">
        <f>H11+I11</f>
        <v/>
      </c>
      <c r="K11" s="28">
        <f>F11-J11</f>
        <v/>
      </c>
      <c r="L11" s="37">
        <f>IF(AND(K11&gt;=0,K10&lt;0),A11,0)</f>
        <v/>
      </c>
      <c r="M11" s="46">
        <f>(C11+$C$5)/$C$6</f>
        <v/>
      </c>
      <c r="N11" s="46">
        <f>(G11+$C$5)/$C$6</f>
        <v/>
      </c>
    </row>
    <row r="12">
      <c r="A12" s="44" t="n">
        <v>0.15</v>
      </c>
      <c r="B12" s="28">
        <f>$C$4*A12</f>
        <v/>
      </c>
      <c r="C12" s="28">
        <f>$C$4*Parametros!$C$24+MAX(0,$C$4*Parametros!$C$25-(Parametros!$C$26+B12))-MAX(0,D12-$C$4*Parametros!$C$27)</f>
        <v/>
      </c>
      <c r="D12" s="28">
        <f>MAX(MIN($C$4*Parametros!$C$7,Parametros!$C$6*Parametros!$C$9*12)*Parametros!$C$8,Parametros!$C$10*12)</f>
        <v/>
      </c>
      <c r="E12" s="28">
        <f>$C$6*(SUMPRODUCT((M12&gt;Parametros!$B$55:$B$63)*(M12-Parametros!$B$55:$B$63)*Parametros!$E$55:$E$63)+SUMPRODUCT((M12&gt;Parametros!$B$67:$B$68)*(M12-Parametros!$B$67:$B$68)*Parametros!$E$67:$E$68))-$C$7</f>
        <v/>
      </c>
      <c r="F12" s="45">
        <f>D12+E12</f>
        <v/>
      </c>
      <c r="G12" s="28">
        <f>MAX(0,$C$4-B12-H12)</f>
        <v/>
      </c>
      <c r="H12" s="28">
        <f>MAX(MIN(MAX($C$4-B12,0),Parametros!$C$6*Parametros!$C$9*12)*Parametros!$C$8,Parametros!$C$10*12)</f>
        <v/>
      </c>
      <c r="I12" s="28">
        <f>$C$6*(SUMPRODUCT((N12&gt;Parametros!$B$55:$B$63)*(N12-Parametros!$B$55:$B$63)*Parametros!$E$55:$E$63)+SUMPRODUCT((N12&gt;Parametros!$B$67:$B$68)*(N12-Parametros!$B$67:$B$68)*Parametros!$E$67:$E$68))-$C$7</f>
        <v/>
      </c>
      <c r="J12" s="45">
        <f>H12+I12</f>
        <v/>
      </c>
      <c r="K12" s="28">
        <f>F12-J12</f>
        <v/>
      </c>
      <c r="L12" s="37">
        <f>IF(AND(K12&gt;=0,K11&lt;0),A12,0)</f>
        <v/>
      </c>
      <c r="M12" s="46">
        <f>(C12+$C$5)/$C$6</f>
        <v/>
      </c>
      <c r="N12" s="46">
        <f>(G12+$C$5)/$C$6</f>
        <v/>
      </c>
    </row>
    <row r="13">
      <c r="A13" s="44" t="n">
        <v>0.2</v>
      </c>
      <c r="B13" s="28">
        <f>$C$4*A13</f>
        <v/>
      </c>
      <c r="C13" s="28">
        <f>$C$4*Parametros!$C$24+MAX(0,$C$4*Parametros!$C$25-(Parametros!$C$26+B13))-MAX(0,D13-$C$4*Parametros!$C$27)</f>
        <v/>
      </c>
      <c r="D13" s="28">
        <f>MAX(MIN($C$4*Parametros!$C$7,Parametros!$C$6*Parametros!$C$9*12)*Parametros!$C$8,Parametros!$C$10*12)</f>
        <v/>
      </c>
      <c r="E13" s="28">
        <f>$C$6*(SUMPRODUCT((M13&gt;Parametros!$B$55:$B$63)*(M13-Parametros!$B$55:$B$63)*Parametros!$E$55:$E$63)+SUMPRODUCT((M13&gt;Parametros!$B$67:$B$68)*(M13-Parametros!$B$67:$B$68)*Parametros!$E$67:$E$68))-$C$7</f>
        <v/>
      </c>
      <c r="F13" s="45">
        <f>D13+E13</f>
        <v/>
      </c>
      <c r="G13" s="28">
        <f>MAX(0,$C$4-B13-H13)</f>
        <v/>
      </c>
      <c r="H13" s="28">
        <f>MAX(MIN(MAX($C$4-B13,0),Parametros!$C$6*Parametros!$C$9*12)*Parametros!$C$8,Parametros!$C$10*12)</f>
        <v/>
      </c>
      <c r="I13" s="28">
        <f>$C$6*(SUMPRODUCT((N13&gt;Parametros!$B$55:$B$63)*(N13-Parametros!$B$55:$B$63)*Parametros!$E$55:$E$63)+SUMPRODUCT((N13&gt;Parametros!$B$67:$B$68)*(N13-Parametros!$B$67:$B$68)*Parametros!$E$67:$E$68))-$C$7</f>
        <v/>
      </c>
      <c r="J13" s="45">
        <f>H13+I13</f>
        <v/>
      </c>
      <c r="K13" s="28">
        <f>F13-J13</f>
        <v/>
      </c>
      <c r="L13" s="37">
        <f>IF(AND(K13&gt;=0,K12&lt;0),A13,0)</f>
        <v/>
      </c>
      <c r="M13" s="46">
        <f>(C13+$C$5)/$C$6</f>
        <v/>
      </c>
      <c r="N13" s="46">
        <f>(G13+$C$5)/$C$6</f>
        <v/>
      </c>
    </row>
    <row r="14">
      <c r="A14" s="44" t="n">
        <v>0.25</v>
      </c>
      <c r="B14" s="28">
        <f>$C$4*A14</f>
        <v/>
      </c>
      <c r="C14" s="28">
        <f>$C$4*Parametros!$C$24+MAX(0,$C$4*Parametros!$C$25-(Parametros!$C$26+B14))-MAX(0,D14-$C$4*Parametros!$C$27)</f>
        <v/>
      </c>
      <c r="D14" s="28">
        <f>MAX(MIN($C$4*Parametros!$C$7,Parametros!$C$6*Parametros!$C$9*12)*Parametros!$C$8,Parametros!$C$10*12)</f>
        <v/>
      </c>
      <c r="E14" s="28">
        <f>$C$6*(SUMPRODUCT((M14&gt;Parametros!$B$55:$B$63)*(M14-Parametros!$B$55:$B$63)*Parametros!$E$55:$E$63)+SUMPRODUCT((M14&gt;Parametros!$B$67:$B$68)*(M14-Parametros!$B$67:$B$68)*Parametros!$E$67:$E$68))-$C$7</f>
        <v/>
      </c>
      <c r="F14" s="45">
        <f>D14+E14</f>
        <v/>
      </c>
      <c r="G14" s="28">
        <f>MAX(0,$C$4-B14-H14)</f>
        <v/>
      </c>
      <c r="H14" s="28">
        <f>MAX(MIN(MAX($C$4-B14,0),Parametros!$C$6*Parametros!$C$9*12)*Parametros!$C$8,Parametros!$C$10*12)</f>
        <v/>
      </c>
      <c r="I14" s="28">
        <f>$C$6*(SUMPRODUCT((N14&gt;Parametros!$B$55:$B$63)*(N14-Parametros!$B$55:$B$63)*Parametros!$E$55:$E$63)+SUMPRODUCT((N14&gt;Parametros!$B$67:$B$68)*(N14-Parametros!$B$67:$B$68)*Parametros!$E$67:$E$68))-$C$7</f>
        <v/>
      </c>
      <c r="J14" s="45">
        <f>H14+I14</f>
        <v/>
      </c>
      <c r="K14" s="28">
        <f>F14-J14</f>
        <v/>
      </c>
      <c r="L14" s="37">
        <f>IF(AND(K14&gt;=0,K13&lt;0),A14,0)</f>
        <v/>
      </c>
      <c r="M14" s="46">
        <f>(C14+$C$5)/$C$6</f>
        <v/>
      </c>
      <c r="N14" s="46">
        <f>(G14+$C$5)/$C$6</f>
        <v/>
      </c>
    </row>
    <row r="15">
      <c r="A15" s="44" t="n">
        <v>0.3</v>
      </c>
      <c r="B15" s="28">
        <f>$C$4*A15</f>
        <v/>
      </c>
      <c r="C15" s="28">
        <f>$C$4*Parametros!$C$24+MAX(0,$C$4*Parametros!$C$25-(Parametros!$C$26+B15))-MAX(0,D15-$C$4*Parametros!$C$27)</f>
        <v/>
      </c>
      <c r="D15" s="28">
        <f>MAX(MIN($C$4*Parametros!$C$7,Parametros!$C$6*Parametros!$C$9*12)*Parametros!$C$8,Parametros!$C$10*12)</f>
        <v/>
      </c>
      <c r="E15" s="28">
        <f>$C$6*(SUMPRODUCT((M15&gt;Parametros!$B$55:$B$63)*(M15-Parametros!$B$55:$B$63)*Parametros!$E$55:$E$63)+SUMPRODUCT((M15&gt;Parametros!$B$67:$B$68)*(M15-Parametros!$B$67:$B$68)*Parametros!$E$67:$E$68))-$C$7</f>
        <v/>
      </c>
      <c r="F15" s="45">
        <f>D15+E15</f>
        <v/>
      </c>
      <c r="G15" s="28">
        <f>MAX(0,$C$4-B15-H15)</f>
        <v/>
      </c>
      <c r="H15" s="28">
        <f>MAX(MIN(MAX($C$4-B15,0),Parametros!$C$6*Parametros!$C$9*12)*Parametros!$C$8,Parametros!$C$10*12)</f>
        <v/>
      </c>
      <c r="I15" s="28">
        <f>$C$6*(SUMPRODUCT((N15&gt;Parametros!$B$55:$B$63)*(N15-Parametros!$B$55:$B$63)*Parametros!$E$55:$E$63)+SUMPRODUCT((N15&gt;Parametros!$B$67:$B$68)*(N15-Parametros!$B$67:$B$68)*Parametros!$E$67:$E$68))-$C$7</f>
        <v/>
      </c>
      <c r="J15" s="45">
        <f>H15+I15</f>
        <v/>
      </c>
      <c r="K15" s="28">
        <f>F15-J15</f>
        <v/>
      </c>
      <c r="L15" s="37">
        <f>IF(AND(K15&gt;=0,K14&lt;0),A15,0)</f>
        <v/>
      </c>
      <c r="M15" s="46">
        <f>(C15+$C$5)/$C$6</f>
        <v/>
      </c>
      <c r="N15" s="46">
        <f>(G15+$C$5)/$C$6</f>
        <v/>
      </c>
    </row>
    <row r="16">
      <c r="A16" s="44" t="n">
        <v>0.35</v>
      </c>
      <c r="B16" s="28">
        <f>$C$4*A16</f>
        <v/>
      </c>
      <c r="C16" s="28">
        <f>$C$4*Parametros!$C$24+MAX(0,$C$4*Parametros!$C$25-(Parametros!$C$26+B16))-MAX(0,D16-$C$4*Parametros!$C$27)</f>
        <v/>
      </c>
      <c r="D16" s="28">
        <f>MAX(MIN($C$4*Parametros!$C$7,Parametros!$C$6*Parametros!$C$9*12)*Parametros!$C$8,Parametros!$C$10*12)</f>
        <v/>
      </c>
      <c r="E16" s="28">
        <f>$C$6*(SUMPRODUCT((M16&gt;Parametros!$B$55:$B$63)*(M16-Parametros!$B$55:$B$63)*Parametros!$E$55:$E$63)+SUMPRODUCT((M16&gt;Parametros!$B$67:$B$68)*(M16-Parametros!$B$67:$B$68)*Parametros!$E$67:$E$68))-$C$7</f>
        <v/>
      </c>
      <c r="F16" s="45">
        <f>D16+E16</f>
        <v/>
      </c>
      <c r="G16" s="28">
        <f>MAX(0,$C$4-B16-H16)</f>
        <v/>
      </c>
      <c r="H16" s="28">
        <f>MAX(MIN(MAX($C$4-B16,0),Parametros!$C$6*Parametros!$C$9*12)*Parametros!$C$8,Parametros!$C$10*12)</f>
        <v/>
      </c>
      <c r="I16" s="28">
        <f>$C$6*(SUMPRODUCT((N16&gt;Parametros!$B$55:$B$63)*(N16-Parametros!$B$55:$B$63)*Parametros!$E$55:$E$63)+SUMPRODUCT((N16&gt;Parametros!$B$67:$B$68)*(N16-Parametros!$B$67:$B$68)*Parametros!$E$67:$E$68))-$C$7</f>
        <v/>
      </c>
      <c r="J16" s="45">
        <f>H16+I16</f>
        <v/>
      </c>
      <c r="K16" s="28">
        <f>F16-J16</f>
        <v/>
      </c>
      <c r="L16" s="37">
        <f>IF(AND(K16&gt;=0,K15&lt;0),A16,0)</f>
        <v/>
      </c>
      <c r="M16" s="46">
        <f>(C16+$C$5)/$C$6</f>
        <v/>
      </c>
      <c r="N16" s="46">
        <f>(G16+$C$5)/$C$6</f>
        <v/>
      </c>
    </row>
    <row r="17">
      <c r="A17" s="44" t="n">
        <v>0.4</v>
      </c>
      <c r="B17" s="28">
        <f>$C$4*A17</f>
        <v/>
      </c>
      <c r="C17" s="28">
        <f>$C$4*Parametros!$C$24+MAX(0,$C$4*Parametros!$C$25-(Parametros!$C$26+B17))-MAX(0,D17-$C$4*Parametros!$C$27)</f>
        <v/>
      </c>
      <c r="D17" s="28">
        <f>MAX(MIN($C$4*Parametros!$C$7,Parametros!$C$6*Parametros!$C$9*12)*Parametros!$C$8,Parametros!$C$10*12)</f>
        <v/>
      </c>
      <c r="E17" s="28">
        <f>$C$6*(SUMPRODUCT((M17&gt;Parametros!$B$55:$B$63)*(M17-Parametros!$B$55:$B$63)*Parametros!$E$55:$E$63)+SUMPRODUCT((M17&gt;Parametros!$B$67:$B$68)*(M17-Parametros!$B$67:$B$68)*Parametros!$E$67:$E$68))-$C$7</f>
        <v/>
      </c>
      <c r="F17" s="45">
        <f>D17+E17</f>
        <v/>
      </c>
      <c r="G17" s="28">
        <f>MAX(0,$C$4-B17-H17)</f>
        <v/>
      </c>
      <c r="H17" s="28">
        <f>MAX(MIN(MAX($C$4-B17,0),Parametros!$C$6*Parametros!$C$9*12)*Parametros!$C$8,Parametros!$C$10*12)</f>
        <v/>
      </c>
      <c r="I17" s="28">
        <f>$C$6*(SUMPRODUCT((N17&gt;Parametros!$B$55:$B$63)*(N17-Parametros!$B$55:$B$63)*Parametros!$E$55:$E$63)+SUMPRODUCT((N17&gt;Parametros!$B$67:$B$68)*(N17-Parametros!$B$67:$B$68)*Parametros!$E$67:$E$68))-$C$7</f>
        <v/>
      </c>
      <c r="J17" s="45">
        <f>H17+I17</f>
        <v/>
      </c>
      <c r="K17" s="28">
        <f>F17-J17</f>
        <v/>
      </c>
      <c r="L17" s="37">
        <f>IF(AND(K17&gt;=0,K16&lt;0),A17,0)</f>
        <v/>
      </c>
      <c r="M17" s="46">
        <f>(C17+$C$5)/$C$6</f>
        <v/>
      </c>
      <c r="N17" s="46">
        <f>(G17+$C$5)/$C$6</f>
        <v/>
      </c>
    </row>
    <row r="18">
      <c r="A18" s="44" t="n">
        <v>0.45</v>
      </c>
      <c r="B18" s="28">
        <f>$C$4*A18</f>
        <v/>
      </c>
      <c r="C18" s="28">
        <f>$C$4*Parametros!$C$24+MAX(0,$C$4*Parametros!$C$25-(Parametros!$C$26+B18))-MAX(0,D18-$C$4*Parametros!$C$27)</f>
        <v/>
      </c>
      <c r="D18" s="28">
        <f>MAX(MIN($C$4*Parametros!$C$7,Parametros!$C$6*Parametros!$C$9*12)*Parametros!$C$8,Parametros!$C$10*12)</f>
        <v/>
      </c>
      <c r="E18" s="28">
        <f>$C$6*(SUMPRODUCT((M18&gt;Parametros!$B$55:$B$63)*(M18-Parametros!$B$55:$B$63)*Parametros!$E$55:$E$63)+SUMPRODUCT((M18&gt;Parametros!$B$67:$B$68)*(M18-Parametros!$B$67:$B$68)*Parametros!$E$67:$E$68))-$C$7</f>
        <v/>
      </c>
      <c r="F18" s="45">
        <f>D18+E18</f>
        <v/>
      </c>
      <c r="G18" s="28">
        <f>MAX(0,$C$4-B18-H18)</f>
        <v/>
      </c>
      <c r="H18" s="28">
        <f>MAX(MIN(MAX($C$4-B18,0),Parametros!$C$6*Parametros!$C$9*12)*Parametros!$C$8,Parametros!$C$10*12)</f>
        <v/>
      </c>
      <c r="I18" s="28">
        <f>$C$6*(SUMPRODUCT((N18&gt;Parametros!$B$55:$B$63)*(N18-Parametros!$B$55:$B$63)*Parametros!$E$55:$E$63)+SUMPRODUCT((N18&gt;Parametros!$B$67:$B$68)*(N18-Parametros!$B$67:$B$68)*Parametros!$E$67:$E$68))-$C$7</f>
        <v/>
      </c>
      <c r="J18" s="45">
        <f>H18+I18</f>
        <v/>
      </c>
      <c r="K18" s="28">
        <f>F18-J18</f>
        <v/>
      </c>
      <c r="L18" s="37">
        <f>IF(AND(K18&gt;=0,K17&lt;0),A18,0)</f>
        <v/>
      </c>
      <c r="M18" s="46">
        <f>(C18+$C$5)/$C$6</f>
        <v/>
      </c>
      <c r="N18" s="46">
        <f>(G18+$C$5)/$C$6</f>
        <v/>
      </c>
    </row>
    <row r="19">
      <c r="A19" s="44" t="n">
        <v>0.5</v>
      </c>
      <c r="B19" s="28">
        <f>$C$4*A19</f>
        <v/>
      </c>
      <c r="C19" s="28">
        <f>$C$4*Parametros!$C$24+MAX(0,$C$4*Parametros!$C$25-(Parametros!$C$26+B19))-MAX(0,D19-$C$4*Parametros!$C$27)</f>
        <v/>
      </c>
      <c r="D19" s="28">
        <f>MAX(MIN($C$4*Parametros!$C$7,Parametros!$C$6*Parametros!$C$9*12)*Parametros!$C$8,Parametros!$C$10*12)</f>
        <v/>
      </c>
      <c r="E19" s="28">
        <f>$C$6*(SUMPRODUCT((M19&gt;Parametros!$B$55:$B$63)*(M19-Parametros!$B$55:$B$63)*Parametros!$E$55:$E$63)+SUMPRODUCT((M19&gt;Parametros!$B$67:$B$68)*(M19-Parametros!$B$67:$B$68)*Parametros!$E$67:$E$68))-$C$7</f>
        <v/>
      </c>
      <c r="F19" s="45">
        <f>D19+E19</f>
        <v/>
      </c>
      <c r="G19" s="28">
        <f>MAX(0,$C$4-B19-H19)</f>
        <v/>
      </c>
      <c r="H19" s="28">
        <f>MAX(MIN(MAX($C$4-B19,0),Parametros!$C$6*Parametros!$C$9*12)*Parametros!$C$8,Parametros!$C$10*12)</f>
        <v/>
      </c>
      <c r="I19" s="28">
        <f>$C$6*(SUMPRODUCT((N19&gt;Parametros!$B$55:$B$63)*(N19-Parametros!$B$55:$B$63)*Parametros!$E$55:$E$63)+SUMPRODUCT((N19&gt;Parametros!$B$67:$B$68)*(N19-Parametros!$B$67:$B$68)*Parametros!$E$67:$E$68))-$C$7</f>
        <v/>
      </c>
      <c r="J19" s="45">
        <f>H19+I19</f>
        <v/>
      </c>
      <c r="K19" s="28">
        <f>F19-J19</f>
        <v/>
      </c>
      <c r="L19" s="37">
        <f>IF(AND(K19&gt;=0,K18&lt;0),A19,0)</f>
        <v/>
      </c>
      <c r="M19" s="46">
        <f>(C19+$C$5)/$C$6</f>
        <v/>
      </c>
      <c r="N19" s="46">
        <f>(G19+$C$5)/$C$6</f>
        <v/>
      </c>
    </row>
    <row r="20">
      <c r="A20" s="44" t="n">
        <v>0.55</v>
      </c>
      <c r="B20" s="28">
        <f>$C$4*A20</f>
        <v/>
      </c>
      <c r="C20" s="28">
        <f>$C$4*Parametros!$C$24+MAX(0,$C$4*Parametros!$C$25-(Parametros!$C$26+B20))-MAX(0,D20-$C$4*Parametros!$C$27)</f>
        <v/>
      </c>
      <c r="D20" s="28">
        <f>MAX(MIN($C$4*Parametros!$C$7,Parametros!$C$6*Parametros!$C$9*12)*Parametros!$C$8,Parametros!$C$10*12)</f>
        <v/>
      </c>
      <c r="E20" s="28">
        <f>$C$6*(SUMPRODUCT((M20&gt;Parametros!$B$55:$B$63)*(M20-Parametros!$B$55:$B$63)*Parametros!$E$55:$E$63)+SUMPRODUCT((M20&gt;Parametros!$B$67:$B$68)*(M20-Parametros!$B$67:$B$68)*Parametros!$E$67:$E$68))-$C$7</f>
        <v/>
      </c>
      <c r="F20" s="45">
        <f>D20+E20</f>
        <v/>
      </c>
      <c r="G20" s="28">
        <f>MAX(0,$C$4-B20-H20)</f>
        <v/>
      </c>
      <c r="H20" s="28">
        <f>MAX(MIN(MAX($C$4-B20,0),Parametros!$C$6*Parametros!$C$9*12)*Parametros!$C$8,Parametros!$C$10*12)</f>
        <v/>
      </c>
      <c r="I20" s="28">
        <f>$C$6*(SUMPRODUCT((N20&gt;Parametros!$B$55:$B$63)*(N20-Parametros!$B$55:$B$63)*Parametros!$E$55:$E$63)+SUMPRODUCT((N20&gt;Parametros!$B$67:$B$68)*(N20-Parametros!$B$67:$B$68)*Parametros!$E$67:$E$68))-$C$7</f>
        <v/>
      </c>
      <c r="J20" s="45">
        <f>H20+I20</f>
        <v/>
      </c>
      <c r="K20" s="28">
        <f>F20-J20</f>
        <v/>
      </c>
      <c r="L20" s="37">
        <f>IF(AND(K20&gt;=0,K19&lt;0),A20,0)</f>
        <v/>
      </c>
      <c r="M20" s="46">
        <f>(C20+$C$5)/$C$6</f>
        <v/>
      </c>
      <c r="N20" s="46">
        <f>(G20+$C$5)/$C$6</f>
        <v/>
      </c>
    </row>
    <row r="21">
      <c r="A21" s="44" t="n">
        <v>0.6000000000000001</v>
      </c>
      <c r="B21" s="28">
        <f>$C$4*A21</f>
        <v/>
      </c>
      <c r="C21" s="28">
        <f>$C$4*Parametros!$C$24+MAX(0,$C$4*Parametros!$C$25-(Parametros!$C$26+B21))-MAX(0,D21-$C$4*Parametros!$C$27)</f>
        <v/>
      </c>
      <c r="D21" s="28">
        <f>MAX(MIN($C$4*Parametros!$C$7,Parametros!$C$6*Parametros!$C$9*12)*Parametros!$C$8,Parametros!$C$10*12)</f>
        <v/>
      </c>
      <c r="E21" s="28">
        <f>$C$6*(SUMPRODUCT((M21&gt;Parametros!$B$55:$B$63)*(M21-Parametros!$B$55:$B$63)*Parametros!$E$55:$E$63)+SUMPRODUCT((M21&gt;Parametros!$B$67:$B$68)*(M21-Parametros!$B$67:$B$68)*Parametros!$E$67:$E$68))-$C$7</f>
        <v/>
      </c>
      <c r="F21" s="45">
        <f>D21+E21</f>
        <v/>
      </c>
      <c r="G21" s="28">
        <f>MAX(0,$C$4-B21-H21)</f>
        <v/>
      </c>
      <c r="H21" s="28">
        <f>MAX(MIN(MAX($C$4-B21,0),Parametros!$C$6*Parametros!$C$9*12)*Parametros!$C$8,Parametros!$C$10*12)</f>
        <v/>
      </c>
      <c r="I21" s="28">
        <f>$C$6*(SUMPRODUCT((N21&gt;Parametros!$B$55:$B$63)*(N21-Parametros!$B$55:$B$63)*Parametros!$E$55:$E$63)+SUMPRODUCT((N21&gt;Parametros!$B$67:$B$68)*(N21-Parametros!$B$67:$B$68)*Parametros!$E$67:$E$68))-$C$7</f>
        <v/>
      </c>
      <c r="J21" s="45">
        <f>H21+I21</f>
        <v/>
      </c>
      <c r="K21" s="28">
        <f>F21-J21</f>
        <v/>
      </c>
      <c r="L21" s="37">
        <f>IF(AND(K21&gt;=0,K20&lt;0),A21,0)</f>
        <v/>
      </c>
      <c r="M21" s="46">
        <f>(C21+$C$5)/$C$6</f>
        <v/>
      </c>
      <c r="N21" s="46">
        <f>(G21+$C$5)/$C$6</f>
        <v/>
      </c>
    </row>
    <row r="22">
      <c r="A22" s="44" t="n">
        <v>0.65</v>
      </c>
      <c r="B22" s="28">
        <f>$C$4*A22</f>
        <v/>
      </c>
      <c r="C22" s="28">
        <f>$C$4*Parametros!$C$24+MAX(0,$C$4*Parametros!$C$25-(Parametros!$C$26+B22))-MAX(0,D22-$C$4*Parametros!$C$27)</f>
        <v/>
      </c>
      <c r="D22" s="28">
        <f>MAX(MIN($C$4*Parametros!$C$7,Parametros!$C$6*Parametros!$C$9*12)*Parametros!$C$8,Parametros!$C$10*12)</f>
        <v/>
      </c>
      <c r="E22" s="28">
        <f>$C$6*(SUMPRODUCT((M22&gt;Parametros!$B$55:$B$63)*(M22-Parametros!$B$55:$B$63)*Parametros!$E$55:$E$63)+SUMPRODUCT((M22&gt;Parametros!$B$67:$B$68)*(M22-Parametros!$B$67:$B$68)*Parametros!$E$67:$E$68))-$C$7</f>
        <v/>
      </c>
      <c r="F22" s="45">
        <f>D22+E22</f>
        <v/>
      </c>
      <c r="G22" s="28">
        <f>MAX(0,$C$4-B22-H22)</f>
        <v/>
      </c>
      <c r="H22" s="28">
        <f>MAX(MIN(MAX($C$4-B22,0),Parametros!$C$6*Parametros!$C$9*12)*Parametros!$C$8,Parametros!$C$10*12)</f>
        <v/>
      </c>
      <c r="I22" s="28">
        <f>$C$6*(SUMPRODUCT((N22&gt;Parametros!$B$55:$B$63)*(N22-Parametros!$B$55:$B$63)*Parametros!$E$55:$E$63)+SUMPRODUCT((N22&gt;Parametros!$B$67:$B$68)*(N22-Parametros!$B$67:$B$68)*Parametros!$E$67:$E$68))-$C$7</f>
        <v/>
      </c>
      <c r="J22" s="45">
        <f>H22+I22</f>
        <v/>
      </c>
      <c r="K22" s="28">
        <f>F22-J22</f>
        <v/>
      </c>
      <c r="L22" s="37">
        <f>IF(AND(K22&gt;=0,K21&lt;0),A22,0)</f>
        <v/>
      </c>
      <c r="M22" s="46">
        <f>(C22+$C$5)/$C$6</f>
        <v/>
      </c>
      <c r="N22" s="46">
        <f>(G22+$C$5)/$C$6</f>
        <v/>
      </c>
    </row>
    <row r="23">
      <c r="A23" s="44" t="n">
        <v>0.7000000000000001</v>
      </c>
      <c r="B23" s="28">
        <f>$C$4*A23</f>
        <v/>
      </c>
      <c r="C23" s="28">
        <f>$C$4*Parametros!$C$24+MAX(0,$C$4*Parametros!$C$25-(Parametros!$C$26+B23))-MAX(0,D23-$C$4*Parametros!$C$27)</f>
        <v/>
      </c>
      <c r="D23" s="28">
        <f>MAX(MIN($C$4*Parametros!$C$7,Parametros!$C$6*Parametros!$C$9*12)*Parametros!$C$8,Parametros!$C$10*12)</f>
        <v/>
      </c>
      <c r="E23" s="28">
        <f>$C$6*(SUMPRODUCT((M23&gt;Parametros!$B$55:$B$63)*(M23-Parametros!$B$55:$B$63)*Parametros!$E$55:$E$63)+SUMPRODUCT((M23&gt;Parametros!$B$67:$B$68)*(M23-Parametros!$B$67:$B$68)*Parametros!$E$67:$E$68))-$C$7</f>
        <v/>
      </c>
      <c r="F23" s="45">
        <f>D23+E23</f>
        <v/>
      </c>
      <c r="G23" s="28">
        <f>MAX(0,$C$4-B23-H23)</f>
        <v/>
      </c>
      <c r="H23" s="28">
        <f>MAX(MIN(MAX($C$4-B23,0),Parametros!$C$6*Parametros!$C$9*12)*Parametros!$C$8,Parametros!$C$10*12)</f>
        <v/>
      </c>
      <c r="I23" s="28">
        <f>$C$6*(SUMPRODUCT((N23&gt;Parametros!$B$55:$B$63)*(N23-Parametros!$B$55:$B$63)*Parametros!$E$55:$E$63)+SUMPRODUCT((N23&gt;Parametros!$B$67:$B$68)*(N23-Parametros!$B$67:$B$68)*Parametros!$E$67:$E$68))-$C$7</f>
        <v/>
      </c>
      <c r="J23" s="45">
        <f>H23+I23</f>
        <v/>
      </c>
      <c r="K23" s="28">
        <f>F23-J23</f>
        <v/>
      </c>
      <c r="L23" s="37">
        <f>IF(AND(K23&gt;=0,K22&lt;0),A23,0)</f>
        <v/>
      </c>
      <c r="M23" s="46">
        <f>(C23+$C$5)/$C$6</f>
        <v/>
      </c>
      <c r="N23" s="46">
        <f>(G23+$C$5)/$C$6</f>
        <v/>
      </c>
    </row>
    <row r="24">
      <c r="A24" s="44" t="n">
        <v>0.75</v>
      </c>
      <c r="B24" s="28">
        <f>$C$4*A24</f>
        <v/>
      </c>
      <c r="C24" s="28">
        <f>$C$4*Parametros!$C$24+MAX(0,$C$4*Parametros!$C$25-(Parametros!$C$26+B24))-MAX(0,D24-$C$4*Parametros!$C$27)</f>
        <v/>
      </c>
      <c r="D24" s="28">
        <f>MAX(MIN($C$4*Parametros!$C$7,Parametros!$C$6*Parametros!$C$9*12)*Parametros!$C$8,Parametros!$C$10*12)</f>
        <v/>
      </c>
      <c r="E24" s="28">
        <f>$C$6*(SUMPRODUCT((M24&gt;Parametros!$B$55:$B$63)*(M24-Parametros!$B$55:$B$63)*Parametros!$E$55:$E$63)+SUMPRODUCT((M24&gt;Parametros!$B$67:$B$68)*(M24-Parametros!$B$67:$B$68)*Parametros!$E$67:$E$68))-$C$7</f>
        <v/>
      </c>
      <c r="F24" s="45">
        <f>D24+E24</f>
        <v/>
      </c>
      <c r="G24" s="28">
        <f>MAX(0,$C$4-B24-H24)</f>
        <v/>
      </c>
      <c r="H24" s="28">
        <f>MAX(MIN(MAX($C$4-B24,0),Parametros!$C$6*Parametros!$C$9*12)*Parametros!$C$8,Parametros!$C$10*12)</f>
        <v/>
      </c>
      <c r="I24" s="28">
        <f>$C$6*(SUMPRODUCT((N24&gt;Parametros!$B$55:$B$63)*(N24-Parametros!$B$55:$B$63)*Parametros!$E$55:$E$63)+SUMPRODUCT((N24&gt;Parametros!$B$67:$B$68)*(N24-Parametros!$B$67:$B$68)*Parametros!$E$67:$E$68))-$C$7</f>
        <v/>
      </c>
      <c r="J24" s="45">
        <f>H24+I24</f>
        <v/>
      </c>
      <c r="K24" s="28">
        <f>F24-J24</f>
        <v/>
      </c>
      <c r="L24" s="37">
        <f>IF(AND(K24&gt;=0,K23&lt;0),A24,0)</f>
        <v/>
      </c>
      <c r="M24" s="46">
        <f>(C24+$C$5)/$C$6</f>
        <v/>
      </c>
      <c r="N24" s="46">
        <f>(G24+$C$5)/$C$6</f>
        <v/>
      </c>
    </row>
    <row r="25"/>
    <row r="26">
      <c r="A26" s="22" t="inlineStr">
        <is>
          <t>Ponto de viragem — peso dos custos reais</t>
        </is>
      </c>
      <c r="C26" s="25">
        <f>MAX(L10:L24)</f>
        <v/>
      </c>
      <c r="E26" s="9" t="inlineStr">
        <is>
          <t>Acima deste peso de custos, a contabilidade organizada passa a entregar mais líquido. Resolução de 5 pontos percentuais — refinar por interpolação se o valor cair perto de um limite.</t>
        </is>
      </c>
    </row>
    <row r="27">
      <c r="A27" s="22" t="inlineStr">
        <is>
          <t>Ponto de viragem — em euros de custos anuais</t>
        </is>
      </c>
      <c r="C27" s="27">
        <f>C26*$C$4</f>
        <v/>
      </c>
    </row>
    <row r="28"/>
    <row r="29" ht="40" customHeight="1">
      <c r="A29" s="20" t="inlineStr">
        <is>
          <t>Simplificação assumida nesta folha: os custos reais são simultaneamente dedutíveis na via 2 e justificáveis na via 1. No caso concreto as duas bases não coincidem exatamente (amortizações versus aquisições do ano). O ponto de viragem apurado é, por isso, conservador — a via 2 tende a virar mais cedo do que aqui aparece. Registado em R1-09.</t>
        </is>
      </c>
    </row>
  </sheetData>
  <sheetProtection selectLockedCells="0" selectUnlockedCells="0" sheet="1" objects="0" insertRows="1" insertHyperlinks="1" autoFilter="1" scenarios="0" formatColumns="1" deleteColumns="1" insertColumns="1" pivotTables="1" deleteRows="1" formatCells="0" formatRows="1" sort="1"/>
  <mergeCells count="2">
    <mergeCell ref="A2:L2"/>
    <mergeCell ref="A29:L29"/>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U61"/>
  <sheetViews>
    <sheetView showGridLines="0" workbookViewId="0">
      <pane ySplit="4" topLeftCell="A5" activePane="bottomLeft" state="frozen"/>
      <selection pane="bottomLeft" activeCell="A1" sqref="A1"/>
    </sheetView>
  </sheetViews>
  <sheetFormatPr baseColWidth="8" defaultRowHeight="15"/>
  <cols>
    <col width="54" customWidth="1" min="1" max="1"/>
    <col width="13" customWidth="1" min="2" max="2"/>
    <col width="15" customWidth="1" min="3" max="3"/>
    <col width="15" customWidth="1" min="4" max="4"/>
    <col width="15" customWidth="1" min="5" max="5"/>
    <col width="52" customWidth="1" min="6" max="6"/>
  </cols>
  <sheetData>
    <row r="1">
      <c r="A1" s="1" t="inlineStr">
        <is>
          <t>M1 — Break-even operacional e rendimento-alvo</t>
        </is>
      </c>
    </row>
    <row r="2" ht="52" customHeight="1">
      <c r="A2" s="20" t="inlineStr">
        <is>
          <t>Três coisas diferentes que a mesma palavra designa. O break-even FISCAL, na folha PontoViragem, diz quando uma estrutura passa a ser melhor que outra. O break-even OPERACIONAL, aqui em cima, diz quando a clínica cobre os custos. O RENDIMENTO-ALVO, aqui em baixo, diz quanto é preciso faturar para a fundadora receber o que quer receber. Nunca misturar as três numa frase.</t>
        </is>
      </c>
    </row>
    <row r="3"/>
    <row r="4" ht="28" customHeight="1">
      <c r="A4" s="6" t="inlineStr">
        <is>
          <t>Rubrica</t>
        </is>
      </c>
      <c r="B4" s="6" t="inlineStr">
        <is>
          <t>Ref.</t>
        </is>
      </c>
      <c r="C4" s="6" t="inlineStr">
        <is>
          <t>Baixo</t>
        </is>
      </c>
      <c r="D4" s="6" t="inlineStr">
        <is>
          <t>Base</t>
        </is>
      </c>
      <c r="E4" s="6" t="inlineStr">
        <is>
          <t>Alto</t>
        </is>
      </c>
      <c r="F4" s="6" t="inlineStr">
        <is>
          <t>Nota</t>
        </is>
      </c>
    </row>
    <row r="5">
      <c r="A5" s="2" t="inlineStr">
        <is>
          <t>Break-even operacional</t>
        </is>
      </c>
      <c r="B5" s="7" t="n"/>
      <c r="C5" s="7" t="n"/>
      <c r="D5" s="7" t="n"/>
      <c r="E5" s="7" t="n"/>
      <c r="F5" s="7" t="n"/>
    </row>
    <row r="6">
      <c r="A6" s="8" t="inlineStr">
        <is>
          <t>Receita da estrutura</t>
        </is>
      </c>
      <c r="B6" s="9" t="inlineStr">
        <is>
          <t>REC</t>
        </is>
      </c>
      <c r="C6" s="35">
        <f>Inputs!$C$42+Inputs!$C$43</f>
        <v/>
      </c>
      <c r="D6" s="35">
        <f>Inputs!$D$42+Inputs!$D$43</f>
        <v/>
      </c>
      <c r="E6" s="35">
        <f>Inputs!$E$42+Inputs!$E$43</f>
        <v/>
      </c>
      <c r="F6" s="17" t="inlineStr"/>
    </row>
    <row r="7">
      <c r="A7" s="8" t="inlineStr">
        <is>
          <t>Custos variáveis</t>
        </is>
      </c>
      <c r="B7" s="9" t="inlineStr">
        <is>
          <t>CV</t>
        </is>
      </c>
      <c r="C7" s="35">
        <f>Inputs!$C$24+Inputs!$C$44</f>
        <v/>
      </c>
      <c r="D7" s="35">
        <f>Inputs!$D$24+Inputs!$D$44</f>
        <v/>
      </c>
      <c r="E7" s="35">
        <f>Inputs!$E$24+Inputs!$E$44</f>
        <v/>
      </c>
      <c r="F7" s="17" t="inlineStr">
        <is>
          <t>Consumíveis e honorários dos colaboradores. Acompanham o volume.</t>
        </is>
      </c>
    </row>
    <row r="8">
      <c r="A8" s="22" t="inlineStr">
        <is>
          <t>Margem de contribuição</t>
        </is>
      </c>
      <c r="B8" s="9" t="inlineStr">
        <is>
          <t>MC</t>
        </is>
      </c>
      <c r="C8" s="27">
        <f>$C$6-$C$7</f>
        <v/>
      </c>
      <c r="D8" s="27">
        <f>$D$6-$D$7</f>
        <v/>
      </c>
      <c r="E8" s="27">
        <f>$E$6-$E$7</f>
        <v/>
      </c>
      <c r="F8" s="17" t="inlineStr"/>
    </row>
    <row r="9">
      <c r="A9" s="22" t="inlineStr">
        <is>
          <t>Margem de contribuição (%)</t>
        </is>
      </c>
      <c r="B9" s="9" t="inlineStr">
        <is>
          <t>MCP</t>
        </is>
      </c>
      <c r="C9" s="25">
        <f>IF($C$6&lt;=0,0,$C$8/$C$6)</f>
        <v/>
      </c>
      <c r="D9" s="25">
        <f>IF($D$6&lt;=0,0,$D$8/$D$6)</f>
        <v/>
      </c>
      <c r="E9" s="25">
        <f>IF($E$6&lt;=0,0,$E$8/$E$6)</f>
        <v/>
      </c>
      <c r="F9" s="17" t="inlineStr">
        <is>
          <t>É o denominador do break-even. No modelo de prestação de serviços, a % de honorários esmaga esta linha — e é por isso que a ata avisa que faturação não é margem.</t>
        </is>
      </c>
    </row>
    <row r="10">
      <c r="A10" s="8" t="inlineStr">
        <is>
          <t>Custos fixos</t>
        </is>
      </c>
      <c r="B10" s="9" t="inlineStr">
        <is>
          <t>CF</t>
        </is>
      </c>
      <c r="C10" s="35">
        <f>Inputs!$C$19+Inputs!$C$20+Inputs!$C$21+Inputs!$C$22+Inputs!$C$25</f>
        <v/>
      </c>
      <c r="D10" s="35">
        <f>Inputs!$D$19+Inputs!$D$20+Inputs!$D$21+Inputs!$D$22+Inputs!$D$25</f>
        <v/>
      </c>
      <c r="E10" s="35">
        <f>Inputs!$E$19+Inputs!$E$20+Inputs!$E$21+Inputs!$E$22+Inputs!$E$25</f>
        <v/>
      </c>
      <c r="F10" s="17" t="inlineStr">
        <is>
          <t>Base de caixa: exclui amortizações, que não são saída de dinheiro.</t>
        </is>
      </c>
    </row>
    <row r="11">
      <c r="A11" s="22" t="inlineStr">
        <is>
          <t>BREAK-EVEN OPERACIONAL (faturação anual)</t>
        </is>
      </c>
      <c r="B11" s="9" t="inlineStr">
        <is>
          <t>BE</t>
        </is>
      </c>
      <c r="C11" s="27">
        <f>IF($C$9&lt;=0,0,$C$10/$C$9)</f>
        <v/>
      </c>
      <c r="D11" s="27">
        <f>IF($D$9&lt;=0,0,$D$10/$D$9)</f>
        <v/>
      </c>
      <c r="E11" s="27">
        <f>IF($E$9&lt;=0,0,$E$10/$E$9)</f>
        <v/>
      </c>
      <c r="F11" s="17" t="inlineStr"/>
    </row>
    <row r="12">
      <c r="A12" s="22" t="inlineStr">
        <is>
          <t>Break-even operacional (faturação mensal)</t>
        </is>
      </c>
      <c r="B12" s="9" t="inlineStr">
        <is>
          <t>BE_MES</t>
        </is>
      </c>
      <c r="C12" s="27">
        <f>$C$11/12</f>
        <v/>
      </c>
      <c r="D12" s="27">
        <f>$D$11/12</f>
        <v/>
      </c>
      <c r="E12" s="27">
        <f>$E$11/12</f>
        <v/>
      </c>
      <c r="F12" s="17" t="inlineStr">
        <is>
          <t>É este o número para dizer à cliente. Ninguém pensa em faturação anual.</t>
        </is>
      </c>
    </row>
    <row r="13">
      <c r="A13" s="22" t="inlineStr">
        <is>
          <t>Margem de segurança sobre a receita projetada</t>
        </is>
      </c>
      <c r="B13" s="9" t="inlineStr">
        <is>
          <t>MARG_SEG</t>
        </is>
      </c>
      <c r="C13" s="25">
        <f>IF($C$6&lt;=0,0,($C$6-$C$11)/$C$6)</f>
        <v/>
      </c>
      <c r="D13" s="25">
        <f>IF($D$6&lt;=0,0,($D$6-$D$11)/$D$6)</f>
        <v/>
      </c>
      <c r="E13" s="25">
        <f>IF($E$6&lt;=0,0,($E$6-$E$11)/$E$6)</f>
        <v/>
      </c>
      <c r="F13" s="17" t="inlineStr">
        <is>
          <t>Negativa significa que a projeção não cobre os custos fixos.</t>
        </is>
      </c>
    </row>
    <row r="14">
      <c r="A14" s="8" t="inlineStr">
        <is>
          <t>Preço médio por consulta</t>
        </is>
      </c>
      <c r="B14" s="9" t="inlineStr">
        <is>
          <t>PRECO_M</t>
        </is>
      </c>
      <c r="C14" s="47">
        <f>IF(Operacao!$C$25&lt;=0,0,Operacao!$C$31/Operacao!$C$25)</f>
        <v/>
      </c>
      <c r="D14" s="47">
        <f>IF(Operacao!$D$25&lt;=0,0,Operacao!$D$31/Operacao!$D$25)</f>
        <v/>
      </c>
      <c r="E14" s="47">
        <f>IF(Operacao!$E$25&lt;=0,0,Operacao!$E$31/Operacao!$E$25)</f>
        <v/>
      </c>
      <c r="F14" s="17" t="inlineStr"/>
    </row>
    <row r="15">
      <c r="A15" s="8" t="inlineStr">
        <is>
          <t>Consultas anuais necessárias para o break-even</t>
        </is>
      </c>
      <c r="B15" s="9" t="inlineStr">
        <is>
          <t>CONS_BE</t>
        </is>
      </c>
      <c r="C15" s="24">
        <f>IF($C$14&lt;=0,0,$C$11/$C$14)</f>
        <v/>
      </c>
      <c r="D15" s="24">
        <f>IF($D$14&lt;=0,0,$D$11/$D$14)</f>
        <v/>
      </c>
      <c r="E15" s="24">
        <f>IF($E$14&lt;=0,0,$E$11/$E$14)</f>
        <v/>
      </c>
      <c r="F15" s="17" t="inlineStr"/>
    </row>
    <row r="16">
      <c r="A16" s="22" t="inlineStr">
        <is>
          <t>UTILIZAÇÃO DOS GABINETES NECESSÁRIA PARA O BREAK-EVEN</t>
        </is>
      </c>
      <c r="B16" s="9" t="inlineStr">
        <is>
          <t>UTIL_BE</t>
        </is>
      </c>
      <c r="C16" s="25">
        <f>IF(Operacao!$C$21&lt;=0,0,$C$15/Operacao!$C$21)</f>
        <v/>
      </c>
      <c r="D16" s="25">
        <f>IF(Operacao!$D$21&lt;=0,0,$D$15/Operacao!$D$21)</f>
        <v/>
      </c>
      <c r="E16" s="25">
        <f>IF(Operacao!$E$21&lt;=0,0,$E$15/Operacao!$E$21)</f>
        <v/>
      </c>
      <c r="F16" s="17" t="inlineStr">
        <is>
          <t>Acima de 100% significa que o espaço escolhido não permite cobrir os seus próprios custos fixos, seja qual for a estrutura fiscal. É a verificação de plausibilidade empresarial.</t>
        </is>
      </c>
    </row>
    <row r="17"/>
    <row r="18">
      <c r="A18" s="2" t="inlineStr">
        <is>
          <t>Rendimento-alvo da fundadora</t>
        </is>
      </c>
      <c r="B18" s="7" t="n"/>
      <c r="C18" s="7" t="n"/>
      <c r="D18" s="7" t="n"/>
      <c r="E18" s="7" t="n"/>
      <c r="F18" s="7" t="n"/>
    </row>
    <row r="19">
      <c r="A19" s="22" t="inlineStr">
        <is>
          <t>Rendimento anual líquido pretendido pela fundadora</t>
        </is>
      </c>
      <c r="C19" s="16" t="n">
        <v>30000</v>
      </c>
      <c r="F19" s="9" t="inlineStr">
        <is>
          <t>Ação 0.8 do P1. É o input que a cliente não sabe que tem de dar, e é o que decide entre a via 3 e a via 4.</t>
        </is>
      </c>
    </row>
    <row r="20"/>
    <row r="21">
      <c r="A21" s="8" t="inlineStr">
        <is>
          <t>Fator do quociente conjugal</t>
        </is>
      </c>
      <c r="C21" s="24">
        <f>IF(Inputs!$D$38=1,2,1)</f>
        <v/>
      </c>
    </row>
    <row r="22">
      <c r="A22" s="8" t="inlineStr">
        <is>
          <t>Coleta do agregado sem a atividade (constante)</t>
        </is>
      </c>
      <c r="C22" s="28">
        <f>$C$21*(SUMPRODUCT(((Inputs!$D$37/$C$21)&gt;Parametros!$B$55:$B$63)*((Inputs!$D$37/$C$21)-Parametros!$B$55:$B$63)*Parametros!$E$55:$E$63)+SUMPRODUCT(((Inputs!$D$37/$C$21)&gt;Parametros!$B$67:$B$68)*((Inputs!$D$37/$C$21)-Parametros!$B$67:$B$68)*Parametros!$E$67:$E$68))</f>
        <v/>
      </c>
    </row>
    <row r="23"/>
    <row r="24">
      <c r="A24" s="5" t="inlineStr">
        <is>
          <t>Faturação necessária para atingir o rendimento-alvo, por estrutura. Custos fixos e peso dos custos variáveis fixados no cenário Base. Resolução de 10.000 €.</t>
        </is>
      </c>
    </row>
    <row r="25" ht="28" customHeight="1">
      <c r="A25" s="6" t="inlineStr">
        <is>
          <t>Faturação</t>
        </is>
      </c>
      <c r="B25" s="6" t="inlineStr">
        <is>
          <t>Custos</t>
        </is>
      </c>
      <c r="C25" s="6" t="inlineStr">
        <is>
          <t>Caixa</t>
        </is>
      </c>
      <c r="D25" s="6" t="inlineStr">
        <is>
          <t>Rend. cat. B (v1)</t>
        </is>
      </c>
      <c r="E25" s="6" t="inlineStr">
        <is>
          <t>SS v1</t>
        </is>
      </c>
      <c r="F25" s="6" t="inlineStr">
        <is>
          <t>IRS v1</t>
        </is>
      </c>
      <c r="G25" s="6" t="inlineStr">
        <is>
          <t>LÍQUIDO v1</t>
        </is>
      </c>
      <c r="H25" s="6" t="inlineStr">
        <is>
          <t>Lucro trib. (v2)</t>
        </is>
      </c>
      <c r="I25" s="6" t="inlineStr">
        <is>
          <t>SS v2</t>
        </is>
      </c>
      <c r="J25" s="6" t="inlineStr">
        <is>
          <t>IRS v2</t>
        </is>
      </c>
      <c r="K25" s="6" t="inlineStr">
        <is>
          <t>LÍQUIDO v2</t>
        </is>
      </c>
      <c r="L25" s="6" t="inlineStr">
        <is>
          <t>Lucro trib. (v3)</t>
        </is>
      </c>
      <c r="M25" s="6" t="inlineStr">
        <is>
          <t>Rend. sócia (v3)</t>
        </is>
      </c>
      <c r="N25" s="6" t="inlineStr">
        <is>
          <t>IRS v3</t>
        </is>
      </c>
      <c r="O25" s="6" t="inlineStr">
        <is>
          <t>LÍQUIDO v3</t>
        </is>
      </c>
      <c r="P25" s="6" t="inlineStr">
        <is>
          <t>Alvo v1</t>
        </is>
      </c>
      <c r="Q25" s="6" t="inlineStr">
        <is>
          <t>Alvo v2</t>
        </is>
      </c>
      <c r="R25" s="6" t="inlineStr">
        <is>
          <t>Alvo v3</t>
        </is>
      </c>
      <c r="S25" s="6" t="inlineStr">
        <is>
          <t>RC ajust. v1</t>
        </is>
      </c>
      <c r="T25" s="6" t="inlineStr">
        <is>
          <t>RC ajust. v2</t>
        </is>
      </c>
      <c r="U25" s="6" t="inlineStr">
        <is>
          <t>RC ajust. v3</t>
        </is>
      </c>
    </row>
    <row r="26">
      <c r="A26" s="48" t="n">
        <v>40000</v>
      </c>
      <c r="B26" s="28">
        <f>($D$10)+A26*(1-$D$9)</f>
        <v/>
      </c>
      <c r="C26" s="28">
        <f>A26-B26</f>
        <v/>
      </c>
      <c r="D26" s="28">
        <f>A26*Parametros!$C$24+MAX(0,A26*Parametros!$C$25-B26)-MAX(0,E26-A26*Parametros!$C$27)</f>
        <v/>
      </c>
      <c r="E26" s="28">
        <f>MAX(MIN(A26*Parametros!$C$7,Parametros!$C$6*Parametros!$C$9*12)*Parametros!$C$8,Parametros!$C$10*12)</f>
        <v/>
      </c>
      <c r="F26" s="28">
        <f>$C$21*(SUMPRODUCT((S26&gt;Parametros!$B$55:$B$63)*(S26-Parametros!$B$55:$B$63)*Parametros!$E$55:$E$63)+SUMPRODUCT((S26&gt;Parametros!$B$67:$B$68)*(S26-Parametros!$B$67:$B$68)*Parametros!$E$67:$E$68))-$C$22</f>
        <v/>
      </c>
      <c r="G26" s="45">
        <f>C26-E26-F26</f>
        <v/>
      </c>
      <c r="H26" s="28">
        <f>MAX(0,A26-B26-(Inputs!$D$27*Parametros!$C$44+(Inputs!$D$28+Inputs!$D$29)*Parametros!$C$45+Inputs!$D$30*Parametros!$C$46)-I26)</f>
        <v/>
      </c>
      <c r="I26" s="28">
        <f>MAX(MIN(MAX(A26-B26-(Inputs!$D$27*Parametros!$C$44+(Inputs!$D$28+Inputs!$D$29)*Parametros!$C$45+Inputs!$D$30*Parametros!$C$46),0),Parametros!$C$6*Parametros!$C$9*12)*Parametros!$C$8,Parametros!$C$10*12)</f>
        <v/>
      </c>
      <c r="J26" s="28">
        <f>$C$21*(SUMPRODUCT((T26&gt;Parametros!$B$55:$B$63)*(T26-Parametros!$B$55:$B$63)*Parametros!$E$55:$E$63)+SUMPRODUCT((T26&gt;Parametros!$B$67:$B$68)*(T26-Parametros!$B$67:$B$68)*Parametros!$E$67:$E$68))-$C$22</f>
        <v/>
      </c>
      <c r="K26" s="45">
        <f>C26-I26-J26</f>
        <v/>
      </c>
      <c r="L26" s="28">
        <f>A26-B26-(Inputs!$D$27*Parametros!$C$44+(Inputs!$D$28+Inputs!$D$29)*Parametros!$C$45+Inputs!$D$30*Parametros!$C$46)-(Inputs!$D$32)-((MAX(Inputs!$D$32,Parametros!$C$6*Parametros!$C$13*12))*Parametros!$C$11)</f>
        <v/>
      </c>
      <c r="M26" s="28">
        <f>MAX(0,(Inputs!$D$32)-MIN((Inputs!$D$32),MAX(Parametros!$C$30,(MAX(Inputs!$D$32,Parametros!$C$6*Parametros!$C$13*12))*Parametros!$C$12)))+MAX(L26,0)</f>
        <v/>
      </c>
      <c r="N26" s="28">
        <f>$C$21*(SUMPRODUCT((U26&gt;Parametros!$B$55:$B$63)*(U26-Parametros!$B$55:$B$63)*Parametros!$E$55:$E$63)+SUMPRODUCT((U26&gt;Parametros!$B$67:$B$68)*(U26-Parametros!$B$67:$B$68)*Parametros!$E$67:$E$68))-$C$22</f>
        <v/>
      </c>
      <c r="O26" s="45">
        <f>C26-((MAX(Inputs!$D$32,Parametros!$C$6*Parametros!$C$13*12))*Parametros!$C$12)-((MAX(Inputs!$D$32,Parametros!$C$6*Parametros!$C$13*12))*Parametros!$C$11)-(Inputs!$D$33)-N26</f>
        <v/>
      </c>
      <c r="P26" s="28">
        <f>0</f>
        <v/>
      </c>
      <c r="Q26" s="28">
        <f>0</f>
        <v/>
      </c>
      <c r="R26" s="28">
        <f>0</f>
        <v/>
      </c>
      <c r="S26" s="46">
        <f>(D26+Inputs!$D$37)/$C$21</f>
        <v/>
      </c>
      <c r="T26" s="46">
        <f>(H26+Inputs!$D$37)/$C$21</f>
        <v/>
      </c>
      <c r="U26" s="46">
        <f>(M26+Inputs!$D$37)/$C$21</f>
        <v/>
      </c>
    </row>
    <row r="27">
      <c r="A27" s="48" t="n">
        <v>50000</v>
      </c>
      <c r="B27" s="28">
        <f>($D$10)+A27*(1-$D$9)</f>
        <v/>
      </c>
      <c r="C27" s="28">
        <f>A27-B27</f>
        <v/>
      </c>
      <c r="D27" s="28">
        <f>A27*Parametros!$C$24+MAX(0,A27*Parametros!$C$25-B27)-MAX(0,E27-A27*Parametros!$C$27)</f>
        <v/>
      </c>
      <c r="E27" s="28">
        <f>MAX(MIN(A27*Parametros!$C$7,Parametros!$C$6*Parametros!$C$9*12)*Parametros!$C$8,Parametros!$C$10*12)</f>
        <v/>
      </c>
      <c r="F27" s="28">
        <f>$C$21*(SUMPRODUCT((S27&gt;Parametros!$B$55:$B$63)*(S27-Parametros!$B$55:$B$63)*Parametros!$E$55:$E$63)+SUMPRODUCT((S27&gt;Parametros!$B$67:$B$68)*(S27-Parametros!$B$67:$B$68)*Parametros!$E$67:$E$68))-$C$22</f>
        <v/>
      </c>
      <c r="G27" s="45">
        <f>C27-E27-F27</f>
        <v/>
      </c>
      <c r="H27" s="28">
        <f>MAX(0,A27-B27-(Inputs!$D$27*Parametros!$C$44+(Inputs!$D$28+Inputs!$D$29)*Parametros!$C$45+Inputs!$D$30*Parametros!$C$46)-I27)</f>
        <v/>
      </c>
      <c r="I27" s="28">
        <f>MAX(MIN(MAX(A27-B27-(Inputs!$D$27*Parametros!$C$44+(Inputs!$D$28+Inputs!$D$29)*Parametros!$C$45+Inputs!$D$30*Parametros!$C$46),0),Parametros!$C$6*Parametros!$C$9*12)*Parametros!$C$8,Parametros!$C$10*12)</f>
        <v/>
      </c>
      <c r="J27" s="28">
        <f>$C$21*(SUMPRODUCT((T27&gt;Parametros!$B$55:$B$63)*(T27-Parametros!$B$55:$B$63)*Parametros!$E$55:$E$63)+SUMPRODUCT((T27&gt;Parametros!$B$67:$B$68)*(T27-Parametros!$B$67:$B$68)*Parametros!$E$67:$E$68))-$C$22</f>
        <v/>
      </c>
      <c r="K27" s="45">
        <f>C27-I27-J27</f>
        <v/>
      </c>
      <c r="L27" s="28">
        <f>A27-B27-(Inputs!$D$27*Parametros!$C$44+(Inputs!$D$28+Inputs!$D$29)*Parametros!$C$45+Inputs!$D$30*Parametros!$C$46)-(Inputs!$D$32)-((MAX(Inputs!$D$32,Parametros!$C$6*Parametros!$C$13*12))*Parametros!$C$11)</f>
        <v/>
      </c>
      <c r="M27" s="28">
        <f>MAX(0,(Inputs!$D$32)-MIN((Inputs!$D$32),MAX(Parametros!$C$30,(MAX(Inputs!$D$32,Parametros!$C$6*Parametros!$C$13*12))*Parametros!$C$12)))+MAX(L27,0)</f>
        <v/>
      </c>
      <c r="N27" s="28">
        <f>$C$21*(SUMPRODUCT((U27&gt;Parametros!$B$55:$B$63)*(U27-Parametros!$B$55:$B$63)*Parametros!$E$55:$E$63)+SUMPRODUCT((U27&gt;Parametros!$B$67:$B$68)*(U27-Parametros!$B$67:$B$68)*Parametros!$E$67:$E$68))-$C$22</f>
        <v/>
      </c>
      <c r="O27" s="45">
        <f>C27-((MAX(Inputs!$D$32,Parametros!$C$6*Parametros!$C$13*12))*Parametros!$C$12)-((MAX(Inputs!$D$32,Parametros!$C$6*Parametros!$C$13*12))*Parametros!$C$11)-(Inputs!$D$33)-N27</f>
        <v/>
      </c>
      <c r="P27" s="28">
        <f>IF(AND(G27&gt;=$C$19,G26&lt;$C$19),A27,0)</f>
        <v/>
      </c>
      <c r="Q27" s="28">
        <f>IF(AND(K27&gt;=$C$19,K26&lt;$C$19),A27,0)</f>
        <v/>
      </c>
      <c r="R27" s="28">
        <f>IF(AND(O27&gt;=$C$19,O26&lt;$C$19),A27,0)</f>
        <v/>
      </c>
      <c r="S27" s="46">
        <f>(D27+Inputs!$D$37)/$C$21</f>
        <v/>
      </c>
      <c r="T27" s="46">
        <f>(H27+Inputs!$D$37)/$C$21</f>
        <v/>
      </c>
      <c r="U27" s="46">
        <f>(M27+Inputs!$D$37)/$C$21</f>
        <v/>
      </c>
    </row>
    <row r="28">
      <c r="A28" s="48" t="n">
        <v>60000</v>
      </c>
      <c r="B28" s="28">
        <f>($D$10)+A28*(1-$D$9)</f>
        <v/>
      </c>
      <c r="C28" s="28">
        <f>A28-B28</f>
        <v/>
      </c>
      <c r="D28" s="28">
        <f>A28*Parametros!$C$24+MAX(0,A28*Parametros!$C$25-B28)-MAX(0,E28-A28*Parametros!$C$27)</f>
        <v/>
      </c>
      <c r="E28" s="28">
        <f>MAX(MIN(A28*Parametros!$C$7,Parametros!$C$6*Parametros!$C$9*12)*Parametros!$C$8,Parametros!$C$10*12)</f>
        <v/>
      </c>
      <c r="F28" s="28">
        <f>$C$21*(SUMPRODUCT((S28&gt;Parametros!$B$55:$B$63)*(S28-Parametros!$B$55:$B$63)*Parametros!$E$55:$E$63)+SUMPRODUCT((S28&gt;Parametros!$B$67:$B$68)*(S28-Parametros!$B$67:$B$68)*Parametros!$E$67:$E$68))-$C$22</f>
        <v/>
      </c>
      <c r="G28" s="45">
        <f>C28-E28-F28</f>
        <v/>
      </c>
      <c r="H28" s="28">
        <f>MAX(0,A28-B28-(Inputs!$D$27*Parametros!$C$44+(Inputs!$D$28+Inputs!$D$29)*Parametros!$C$45+Inputs!$D$30*Parametros!$C$46)-I28)</f>
        <v/>
      </c>
      <c r="I28" s="28">
        <f>MAX(MIN(MAX(A28-B28-(Inputs!$D$27*Parametros!$C$44+(Inputs!$D$28+Inputs!$D$29)*Parametros!$C$45+Inputs!$D$30*Parametros!$C$46),0),Parametros!$C$6*Parametros!$C$9*12)*Parametros!$C$8,Parametros!$C$10*12)</f>
        <v/>
      </c>
      <c r="J28" s="28">
        <f>$C$21*(SUMPRODUCT((T28&gt;Parametros!$B$55:$B$63)*(T28-Parametros!$B$55:$B$63)*Parametros!$E$55:$E$63)+SUMPRODUCT((T28&gt;Parametros!$B$67:$B$68)*(T28-Parametros!$B$67:$B$68)*Parametros!$E$67:$E$68))-$C$22</f>
        <v/>
      </c>
      <c r="K28" s="45">
        <f>C28-I28-J28</f>
        <v/>
      </c>
      <c r="L28" s="28">
        <f>A28-B28-(Inputs!$D$27*Parametros!$C$44+(Inputs!$D$28+Inputs!$D$29)*Parametros!$C$45+Inputs!$D$30*Parametros!$C$46)-(Inputs!$D$32)-((MAX(Inputs!$D$32,Parametros!$C$6*Parametros!$C$13*12))*Parametros!$C$11)</f>
        <v/>
      </c>
      <c r="M28" s="28">
        <f>MAX(0,(Inputs!$D$32)-MIN((Inputs!$D$32),MAX(Parametros!$C$30,(MAX(Inputs!$D$32,Parametros!$C$6*Parametros!$C$13*12))*Parametros!$C$12)))+MAX(L28,0)</f>
        <v/>
      </c>
      <c r="N28" s="28">
        <f>$C$21*(SUMPRODUCT((U28&gt;Parametros!$B$55:$B$63)*(U28-Parametros!$B$55:$B$63)*Parametros!$E$55:$E$63)+SUMPRODUCT((U28&gt;Parametros!$B$67:$B$68)*(U28-Parametros!$B$67:$B$68)*Parametros!$E$67:$E$68))-$C$22</f>
        <v/>
      </c>
      <c r="O28" s="45">
        <f>C28-((MAX(Inputs!$D$32,Parametros!$C$6*Parametros!$C$13*12))*Parametros!$C$12)-((MAX(Inputs!$D$32,Parametros!$C$6*Parametros!$C$13*12))*Parametros!$C$11)-(Inputs!$D$33)-N28</f>
        <v/>
      </c>
      <c r="P28" s="28">
        <f>IF(AND(G28&gt;=$C$19,G27&lt;$C$19),A28,0)</f>
        <v/>
      </c>
      <c r="Q28" s="28">
        <f>IF(AND(K28&gt;=$C$19,K27&lt;$C$19),A28,0)</f>
        <v/>
      </c>
      <c r="R28" s="28">
        <f>IF(AND(O28&gt;=$C$19,O27&lt;$C$19),A28,0)</f>
        <v/>
      </c>
      <c r="S28" s="46">
        <f>(D28+Inputs!$D$37)/$C$21</f>
        <v/>
      </c>
      <c r="T28" s="46">
        <f>(H28+Inputs!$D$37)/$C$21</f>
        <v/>
      </c>
      <c r="U28" s="46">
        <f>(M28+Inputs!$D$37)/$C$21</f>
        <v/>
      </c>
    </row>
    <row r="29">
      <c r="A29" s="48" t="n">
        <v>70000</v>
      </c>
      <c r="B29" s="28">
        <f>($D$10)+A29*(1-$D$9)</f>
        <v/>
      </c>
      <c r="C29" s="28">
        <f>A29-B29</f>
        <v/>
      </c>
      <c r="D29" s="28">
        <f>A29*Parametros!$C$24+MAX(0,A29*Parametros!$C$25-B29)-MAX(0,E29-A29*Parametros!$C$27)</f>
        <v/>
      </c>
      <c r="E29" s="28">
        <f>MAX(MIN(A29*Parametros!$C$7,Parametros!$C$6*Parametros!$C$9*12)*Parametros!$C$8,Parametros!$C$10*12)</f>
        <v/>
      </c>
      <c r="F29" s="28">
        <f>$C$21*(SUMPRODUCT((S29&gt;Parametros!$B$55:$B$63)*(S29-Parametros!$B$55:$B$63)*Parametros!$E$55:$E$63)+SUMPRODUCT((S29&gt;Parametros!$B$67:$B$68)*(S29-Parametros!$B$67:$B$68)*Parametros!$E$67:$E$68))-$C$22</f>
        <v/>
      </c>
      <c r="G29" s="45">
        <f>C29-E29-F29</f>
        <v/>
      </c>
      <c r="H29" s="28">
        <f>MAX(0,A29-B29-(Inputs!$D$27*Parametros!$C$44+(Inputs!$D$28+Inputs!$D$29)*Parametros!$C$45+Inputs!$D$30*Parametros!$C$46)-I29)</f>
        <v/>
      </c>
      <c r="I29" s="28">
        <f>MAX(MIN(MAX(A29-B29-(Inputs!$D$27*Parametros!$C$44+(Inputs!$D$28+Inputs!$D$29)*Parametros!$C$45+Inputs!$D$30*Parametros!$C$46),0),Parametros!$C$6*Parametros!$C$9*12)*Parametros!$C$8,Parametros!$C$10*12)</f>
        <v/>
      </c>
      <c r="J29" s="28">
        <f>$C$21*(SUMPRODUCT((T29&gt;Parametros!$B$55:$B$63)*(T29-Parametros!$B$55:$B$63)*Parametros!$E$55:$E$63)+SUMPRODUCT((T29&gt;Parametros!$B$67:$B$68)*(T29-Parametros!$B$67:$B$68)*Parametros!$E$67:$E$68))-$C$22</f>
        <v/>
      </c>
      <c r="K29" s="45">
        <f>C29-I29-J29</f>
        <v/>
      </c>
      <c r="L29" s="28">
        <f>A29-B29-(Inputs!$D$27*Parametros!$C$44+(Inputs!$D$28+Inputs!$D$29)*Parametros!$C$45+Inputs!$D$30*Parametros!$C$46)-(Inputs!$D$32)-((MAX(Inputs!$D$32,Parametros!$C$6*Parametros!$C$13*12))*Parametros!$C$11)</f>
        <v/>
      </c>
      <c r="M29" s="28">
        <f>MAX(0,(Inputs!$D$32)-MIN((Inputs!$D$32),MAX(Parametros!$C$30,(MAX(Inputs!$D$32,Parametros!$C$6*Parametros!$C$13*12))*Parametros!$C$12)))+MAX(L29,0)</f>
        <v/>
      </c>
      <c r="N29" s="28">
        <f>$C$21*(SUMPRODUCT((U29&gt;Parametros!$B$55:$B$63)*(U29-Parametros!$B$55:$B$63)*Parametros!$E$55:$E$63)+SUMPRODUCT((U29&gt;Parametros!$B$67:$B$68)*(U29-Parametros!$B$67:$B$68)*Parametros!$E$67:$E$68))-$C$22</f>
        <v/>
      </c>
      <c r="O29" s="45">
        <f>C29-((MAX(Inputs!$D$32,Parametros!$C$6*Parametros!$C$13*12))*Parametros!$C$12)-((MAX(Inputs!$D$32,Parametros!$C$6*Parametros!$C$13*12))*Parametros!$C$11)-(Inputs!$D$33)-N29</f>
        <v/>
      </c>
      <c r="P29" s="28">
        <f>IF(AND(G29&gt;=$C$19,G28&lt;$C$19),A29,0)</f>
        <v/>
      </c>
      <c r="Q29" s="28">
        <f>IF(AND(K29&gt;=$C$19,K28&lt;$C$19),A29,0)</f>
        <v/>
      </c>
      <c r="R29" s="28">
        <f>IF(AND(O29&gt;=$C$19,O28&lt;$C$19),A29,0)</f>
        <v/>
      </c>
      <c r="S29" s="46">
        <f>(D29+Inputs!$D$37)/$C$21</f>
        <v/>
      </c>
      <c r="T29" s="46">
        <f>(H29+Inputs!$D$37)/$C$21</f>
        <v/>
      </c>
      <c r="U29" s="46">
        <f>(M29+Inputs!$D$37)/$C$21</f>
        <v/>
      </c>
    </row>
    <row r="30">
      <c r="A30" s="48" t="n">
        <v>80000</v>
      </c>
      <c r="B30" s="28">
        <f>($D$10)+A30*(1-$D$9)</f>
        <v/>
      </c>
      <c r="C30" s="28">
        <f>A30-B30</f>
        <v/>
      </c>
      <c r="D30" s="28">
        <f>A30*Parametros!$C$24+MAX(0,A30*Parametros!$C$25-B30)-MAX(0,E30-A30*Parametros!$C$27)</f>
        <v/>
      </c>
      <c r="E30" s="28">
        <f>MAX(MIN(A30*Parametros!$C$7,Parametros!$C$6*Parametros!$C$9*12)*Parametros!$C$8,Parametros!$C$10*12)</f>
        <v/>
      </c>
      <c r="F30" s="28">
        <f>$C$21*(SUMPRODUCT((S30&gt;Parametros!$B$55:$B$63)*(S30-Parametros!$B$55:$B$63)*Parametros!$E$55:$E$63)+SUMPRODUCT((S30&gt;Parametros!$B$67:$B$68)*(S30-Parametros!$B$67:$B$68)*Parametros!$E$67:$E$68))-$C$22</f>
        <v/>
      </c>
      <c r="G30" s="45">
        <f>C30-E30-F30</f>
        <v/>
      </c>
      <c r="H30" s="28">
        <f>MAX(0,A30-B30-(Inputs!$D$27*Parametros!$C$44+(Inputs!$D$28+Inputs!$D$29)*Parametros!$C$45+Inputs!$D$30*Parametros!$C$46)-I30)</f>
        <v/>
      </c>
      <c r="I30" s="28">
        <f>MAX(MIN(MAX(A30-B30-(Inputs!$D$27*Parametros!$C$44+(Inputs!$D$28+Inputs!$D$29)*Parametros!$C$45+Inputs!$D$30*Parametros!$C$46),0),Parametros!$C$6*Parametros!$C$9*12)*Parametros!$C$8,Parametros!$C$10*12)</f>
        <v/>
      </c>
      <c r="J30" s="28">
        <f>$C$21*(SUMPRODUCT((T30&gt;Parametros!$B$55:$B$63)*(T30-Parametros!$B$55:$B$63)*Parametros!$E$55:$E$63)+SUMPRODUCT((T30&gt;Parametros!$B$67:$B$68)*(T30-Parametros!$B$67:$B$68)*Parametros!$E$67:$E$68))-$C$22</f>
        <v/>
      </c>
      <c r="K30" s="45">
        <f>C30-I30-J30</f>
        <v/>
      </c>
      <c r="L30" s="28">
        <f>A30-B30-(Inputs!$D$27*Parametros!$C$44+(Inputs!$D$28+Inputs!$D$29)*Parametros!$C$45+Inputs!$D$30*Parametros!$C$46)-(Inputs!$D$32)-((MAX(Inputs!$D$32,Parametros!$C$6*Parametros!$C$13*12))*Parametros!$C$11)</f>
        <v/>
      </c>
      <c r="M30" s="28">
        <f>MAX(0,(Inputs!$D$32)-MIN((Inputs!$D$32),MAX(Parametros!$C$30,(MAX(Inputs!$D$32,Parametros!$C$6*Parametros!$C$13*12))*Parametros!$C$12)))+MAX(L30,0)</f>
        <v/>
      </c>
      <c r="N30" s="28">
        <f>$C$21*(SUMPRODUCT((U30&gt;Parametros!$B$55:$B$63)*(U30-Parametros!$B$55:$B$63)*Parametros!$E$55:$E$63)+SUMPRODUCT((U30&gt;Parametros!$B$67:$B$68)*(U30-Parametros!$B$67:$B$68)*Parametros!$E$67:$E$68))-$C$22</f>
        <v/>
      </c>
      <c r="O30" s="45">
        <f>C30-((MAX(Inputs!$D$32,Parametros!$C$6*Parametros!$C$13*12))*Parametros!$C$12)-((MAX(Inputs!$D$32,Parametros!$C$6*Parametros!$C$13*12))*Parametros!$C$11)-(Inputs!$D$33)-N30</f>
        <v/>
      </c>
      <c r="P30" s="28">
        <f>IF(AND(G30&gt;=$C$19,G29&lt;$C$19),A30,0)</f>
        <v/>
      </c>
      <c r="Q30" s="28">
        <f>IF(AND(K30&gt;=$C$19,K29&lt;$C$19),A30,0)</f>
        <v/>
      </c>
      <c r="R30" s="28">
        <f>IF(AND(O30&gt;=$C$19,O29&lt;$C$19),A30,0)</f>
        <v/>
      </c>
      <c r="S30" s="46">
        <f>(D30+Inputs!$D$37)/$C$21</f>
        <v/>
      </c>
      <c r="T30" s="46">
        <f>(H30+Inputs!$D$37)/$C$21</f>
        <v/>
      </c>
      <c r="U30" s="46">
        <f>(M30+Inputs!$D$37)/$C$21</f>
        <v/>
      </c>
    </row>
    <row r="31">
      <c r="A31" s="48" t="n">
        <v>90000</v>
      </c>
      <c r="B31" s="28">
        <f>($D$10)+A31*(1-$D$9)</f>
        <v/>
      </c>
      <c r="C31" s="28">
        <f>A31-B31</f>
        <v/>
      </c>
      <c r="D31" s="28">
        <f>A31*Parametros!$C$24+MAX(0,A31*Parametros!$C$25-B31)-MAX(0,E31-A31*Parametros!$C$27)</f>
        <v/>
      </c>
      <c r="E31" s="28">
        <f>MAX(MIN(A31*Parametros!$C$7,Parametros!$C$6*Parametros!$C$9*12)*Parametros!$C$8,Parametros!$C$10*12)</f>
        <v/>
      </c>
      <c r="F31" s="28">
        <f>$C$21*(SUMPRODUCT((S31&gt;Parametros!$B$55:$B$63)*(S31-Parametros!$B$55:$B$63)*Parametros!$E$55:$E$63)+SUMPRODUCT((S31&gt;Parametros!$B$67:$B$68)*(S31-Parametros!$B$67:$B$68)*Parametros!$E$67:$E$68))-$C$22</f>
        <v/>
      </c>
      <c r="G31" s="45">
        <f>C31-E31-F31</f>
        <v/>
      </c>
      <c r="H31" s="28">
        <f>MAX(0,A31-B31-(Inputs!$D$27*Parametros!$C$44+(Inputs!$D$28+Inputs!$D$29)*Parametros!$C$45+Inputs!$D$30*Parametros!$C$46)-I31)</f>
        <v/>
      </c>
      <c r="I31" s="28">
        <f>MAX(MIN(MAX(A31-B31-(Inputs!$D$27*Parametros!$C$44+(Inputs!$D$28+Inputs!$D$29)*Parametros!$C$45+Inputs!$D$30*Parametros!$C$46),0),Parametros!$C$6*Parametros!$C$9*12)*Parametros!$C$8,Parametros!$C$10*12)</f>
        <v/>
      </c>
      <c r="J31" s="28">
        <f>$C$21*(SUMPRODUCT((T31&gt;Parametros!$B$55:$B$63)*(T31-Parametros!$B$55:$B$63)*Parametros!$E$55:$E$63)+SUMPRODUCT((T31&gt;Parametros!$B$67:$B$68)*(T31-Parametros!$B$67:$B$68)*Parametros!$E$67:$E$68))-$C$22</f>
        <v/>
      </c>
      <c r="K31" s="45">
        <f>C31-I31-J31</f>
        <v/>
      </c>
      <c r="L31" s="28">
        <f>A31-B31-(Inputs!$D$27*Parametros!$C$44+(Inputs!$D$28+Inputs!$D$29)*Parametros!$C$45+Inputs!$D$30*Parametros!$C$46)-(Inputs!$D$32)-((MAX(Inputs!$D$32,Parametros!$C$6*Parametros!$C$13*12))*Parametros!$C$11)</f>
        <v/>
      </c>
      <c r="M31" s="28">
        <f>MAX(0,(Inputs!$D$32)-MIN((Inputs!$D$32),MAX(Parametros!$C$30,(MAX(Inputs!$D$32,Parametros!$C$6*Parametros!$C$13*12))*Parametros!$C$12)))+MAX(L31,0)</f>
        <v/>
      </c>
      <c r="N31" s="28">
        <f>$C$21*(SUMPRODUCT((U31&gt;Parametros!$B$55:$B$63)*(U31-Parametros!$B$55:$B$63)*Parametros!$E$55:$E$63)+SUMPRODUCT((U31&gt;Parametros!$B$67:$B$68)*(U31-Parametros!$B$67:$B$68)*Parametros!$E$67:$E$68))-$C$22</f>
        <v/>
      </c>
      <c r="O31" s="45">
        <f>C31-((MAX(Inputs!$D$32,Parametros!$C$6*Parametros!$C$13*12))*Parametros!$C$12)-((MAX(Inputs!$D$32,Parametros!$C$6*Parametros!$C$13*12))*Parametros!$C$11)-(Inputs!$D$33)-N31</f>
        <v/>
      </c>
      <c r="P31" s="28">
        <f>IF(AND(G31&gt;=$C$19,G30&lt;$C$19),A31,0)</f>
        <v/>
      </c>
      <c r="Q31" s="28">
        <f>IF(AND(K31&gt;=$C$19,K30&lt;$C$19),A31,0)</f>
        <v/>
      </c>
      <c r="R31" s="28">
        <f>IF(AND(O31&gt;=$C$19,O30&lt;$C$19),A31,0)</f>
        <v/>
      </c>
      <c r="S31" s="46">
        <f>(D31+Inputs!$D$37)/$C$21</f>
        <v/>
      </c>
      <c r="T31" s="46">
        <f>(H31+Inputs!$D$37)/$C$21</f>
        <v/>
      </c>
      <c r="U31" s="46">
        <f>(M31+Inputs!$D$37)/$C$21</f>
        <v/>
      </c>
    </row>
    <row r="32">
      <c r="A32" s="48" t="n">
        <v>100000</v>
      </c>
      <c r="B32" s="28">
        <f>($D$10)+A32*(1-$D$9)</f>
        <v/>
      </c>
      <c r="C32" s="28">
        <f>A32-B32</f>
        <v/>
      </c>
      <c r="D32" s="28">
        <f>A32*Parametros!$C$24+MAX(0,A32*Parametros!$C$25-B32)-MAX(0,E32-A32*Parametros!$C$27)</f>
        <v/>
      </c>
      <c r="E32" s="28">
        <f>MAX(MIN(A32*Parametros!$C$7,Parametros!$C$6*Parametros!$C$9*12)*Parametros!$C$8,Parametros!$C$10*12)</f>
        <v/>
      </c>
      <c r="F32" s="28">
        <f>$C$21*(SUMPRODUCT((S32&gt;Parametros!$B$55:$B$63)*(S32-Parametros!$B$55:$B$63)*Parametros!$E$55:$E$63)+SUMPRODUCT((S32&gt;Parametros!$B$67:$B$68)*(S32-Parametros!$B$67:$B$68)*Parametros!$E$67:$E$68))-$C$22</f>
        <v/>
      </c>
      <c r="G32" s="45">
        <f>C32-E32-F32</f>
        <v/>
      </c>
      <c r="H32" s="28">
        <f>MAX(0,A32-B32-(Inputs!$D$27*Parametros!$C$44+(Inputs!$D$28+Inputs!$D$29)*Parametros!$C$45+Inputs!$D$30*Parametros!$C$46)-I32)</f>
        <v/>
      </c>
      <c r="I32" s="28">
        <f>MAX(MIN(MAX(A32-B32-(Inputs!$D$27*Parametros!$C$44+(Inputs!$D$28+Inputs!$D$29)*Parametros!$C$45+Inputs!$D$30*Parametros!$C$46),0),Parametros!$C$6*Parametros!$C$9*12)*Parametros!$C$8,Parametros!$C$10*12)</f>
        <v/>
      </c>
      <c r="J32" s="28">
        <f>$C$21*(SUMPRODUCT((T32&gt;Parametros!$B$55:$B$63)*(T32-Parametros!$B$55:$B$63)*Parametros!$E$55:$E$63)+SUMPRODUCT((T32&gt;Parametros!$B$67:$B$68)*(T32-Parametros!$B$67:$B$68)*Parametros!$E$67:$E$68))-$C$22</f>
        <v/>
      </c>
      <c r="K32" s="45">
        <f>C32-I32-J32</f>
        <v/>
      </c>
      <c r="L32" s="28">
        <f>A32-B32-(Inputs!$D$27*Parametros!$C$44+(Inputs!$D$28+Inputs!$D$29)*Parametros!$C$45+Inputs!$D$30*Parametros!$C$46)-(Inputs!$D$32)-((MAX(Inputs!$D$32,Parametros!$C$6*Parametros!$C$13*12))*Parametros!$C$11)</f>
        <v/>
      </c>
      <c r="M32" s="28">
        <f>MAX(0,(Inputs!$D$32)-MIN((Inputs!$D$32),MAX(Parametros!$C$30,(MAX(Inputs!$D$32,Parametros!$C$6*Parametros!$C$13*12))*Parametros!$C$12)))+MAX(L32,0)</f>
        <v/>
      </c>
      <c r="N32" s="28">
        <f>$C$21*(SUMPRODUCT((U32&gt;Parametros!$B$55:$B$63)*(U32-Parametros!$B$55:$B$63)*Parametros!$E$55:$E$63)+SUMPRODUCT((U32&gt;Parametros!$B$67:$B$68)*(U32-Parametros!$B$67:$B$68)*Parametros!$E$67:$E$68))-$C$22</f>
        <v/>
      </c>
      <c r="O32" s="45">
        <f>C32-((MAX(Inputs!$D$32,Parametros!$C$6*Parametros!$C$13*12))*Parametros!$C$12)-((MAX(Inputs!$D$32,Parametros!$C$6*Parametros!$C$13*12))*Parametros!$C$11)-(Inputs!$D$33)-N32</f>
        <v/>
      </c>
      <c r="P32" s="28">
        <f>IF(AND(G32&gt;=$C$19,G31&lt;$C$19),A32,0)</f>
        <v/>
      </c>
      <c r="Q32" s="28">
        <f>IF(AND(K32&gt;=$C$19,K31&lt;$C$19),A32,0)</f>
        <v/>
      </c>
      <c r="R32" s="28">
        <f>IF(AND(O32&gt;=$C$19,O31&lt;$C$19),A32,0)</f>
        <v/>
      </c>
      <c r="S32" s="46">
        <f>(D32+Inputs!$D$37)/$C$21</f>
        <v/>
      </c>
      <c r="T32" s="46">
        <f>(H32+Inputs!$D$37)/$C$21</f>
        <v/>
      </c>
      <c r="U32" s="46">
        <f>(M32+Inputs!$D$37)/$C$21</f>
        <v/>
      </c>
    </row>
    <row r="33">
      <c r="A33" s="48" t="n">
        <v>110000</v>
      </c>
      <c r="B33" s="28">
        <f>($D$10)+A33*(1-$D$9)</f>
        <v/>
      </c>
      <c r="C33" s="28">
        <f>A33-B33</f>
        <v/>
      </c>
      <c r="D33" s="28">
        <f>A33*Parametros!$C$24+MAX(0,A33*Parametros!$C$25-B33)-MAX(0,E33-A33*Parametros!$C$27)</f>
        <v/>
      </c>
      <c r="E33" s="28">
        <f>MAX(MIN(A33*Parametros!$C$7,Parametros!$C$6*Parametros!$C$9*12)*Parametros!$C$8,Parametros!$C$10*12)</f>
        <v/>
      </c>
      <c r="F33" s="28">
        <f>$C$21*(SUMPRODUCT((S33&gt;Parametros!$B$55:$B$63)*(S33-Parametros!$B$55:$B$63)*Parametros!$E$55:$E$63)+SUMPRODUCT((S33&gt;Parametros!$B$67:$B$68)*(S33-Parametros!$B$67:$B$68)*Parametros!$E$67:$E$68))-$C$22</f>
        <v/>
      </c>
      <c r="G33" s="45">
        <f>C33-E33-F33</f>
        <v/>
      </c>
      <c r="H33" s="28">
        <f>MAX(0,A33-B33-(Inputs!$D$27*Parametros!$C$44+(Inputs!$D$28+Inputs!$D$29)*Parametros!$C$45+Inputs!$D$30*Parametros!$C$46)-I33)</f>
        <v/>
      </c>
      <c r="I33" s="28">
        <f>MAX(MIN(MAX(A33-B33-(Inputs!$D$27*Parametros!$C$44+(Inputs!$D$28+Inputs!$D$29)*Parametros!$C$45+Inputs!$D$30*Parametros!$C$46),0),Parametros!$C$6*Parametros!$C$9*12)*Parametros!$C$8,Parametros!$C$10*12)</f>
        <v/>
      </c>
      <c r="J33" s="28">
        <f>$C$21*(SUMPRODUCT((T33&gt;Parametros!$B$55:$B$63)*(T33-Parametros!$B$55:$B$63)*Parametros!$E$55:$E$63)+SUMPRODUCT((T33&gt;Parametros!$B$67:$B$68)*(T33-Parametros!$B$67:$B$68)*Parametros!$E$67:$E$68))-$C$22</f>
        <v/>
      </c>
      <c r="K33" s="45">
        <f>C33-I33-J33</f>
        <v/>
      </c>
      <c r="L33" s="28">
        <f>A33-B33-(Inputs!$D$27*Parametros!$C$44+(Inputs!$D$28+Inputs!$D$29)*Parametros!$C$45+Inputs!$D$30*Parametros!$C$46)-(Inputs!$D$32)-((MAX(Inputs!$D$32,Parametros!$C$6*Parametros!$C$13*12))*Parametros!$C$11)</f>
        <v/>
      </c>
      <c r="M33" s="28">
        <f>MAX(0,(Inputs!$D$32)-MIN((Inputs!$D$32),MAX(Parametros!$C$30,(MAX(Inputs!$D$32,Parametros!$C$6*Parametros!$C$13*12))*Parametros!$C$12)))+MAX(L33,0)</f>
        <v/>
      </c>
      <c r="N33" s="28">
        <f>$C$21*(SUMPRODUCT((U33&gt;Parametros!$B$55:$B$63)*(U33-Parametros!$B$55:$B$63)*Parametros!$E$55:$E$63)+SUMPRODUCT((U33&gt;Parametros!$B$67:$B$68)*(U33-Parametros!$B$67:$B$68)*Parametros!$E$67:$E$68))-$C$22</f>
        <v/>
      </c>
      <c r="O33" s="45">
        <f>C33-((MAX(Inputs!$D$32,Parametros!$C$6*Parametros!$C$13*12))*Parametros!$C$12)-((MAX(Inputs!$D$32,Parametros!$C$6*Parametros!$C$13*12))*Parametros!$C$11)-(Inputs!$D$33)-N33</f>
        <v/>
      </c>
      <c r="P33" s="28">
        <f>IF(AND(G33&gt;=$C$19,G32&lt;$C$19),A33,0)</f>
        <v/>
      </c>
      <c r="Q33" s="28">
        <f>IF(AND(K33&gt;=$C$19,K32&lt;$C$19),A33,0)</f>
        <v/>
      </c>
      <c r="R33" s="28">
        <f>IF(AND(O33&gt;=$C$19,O32&lt;$C$19),A33,0)</f>
        <v/>
      </c>
      <c r="S33" s="46">
        <f>(D33+Inputs!$D$37)/$C$21</f>
        <v/>
      </c>
      <c r="T33" s="46">
        <f>(H33+Inputs!$D$37)/$C$21</f>
        <v/>
      </c>
      <c r="U33" s="46">
        <f>(M33+Inputs!$D$37)/$C$21</f>
        <v/>
      </c>
    </row>
    <row r="34">
      <c r="A34" s="48" t="n">
        <v>120000</v>
      </c>
      <c r="B34" s="28">
        <f>($D$10)+A34*(1-$D$9)</f>
        <v/>
      </c>
      <c r="C34" s="28">
        <f>A34-B34</f>
        <v/>
      </c>
      <c r="D34" s="28">
        <f>A34*Parametros!$C$24+MAX(0,A34*Parametros!$C$25-B34)-MAX(0,E34-A34*Parametros!$C$27)</f>
        <v/>
      </c>
      <c r="E34" s="28">
        <f>MAX(MIN(A34*Parametros!$C$7,Parametros!$C$6*Parametros!$C$9*12)*Parametros!$C$8,Parametros!$C$10*12)</f>
        <v/>
      </c>
      <c r="F34" s="28">
        <f>$C$21*(SUMPRODUCT((S34&gt;Parametros!$B$55:$B$63)*(S34-Parametros!$B$55:$B$63)*Parametros!$E$55:$E$63)+SUMPRODUCT((S34&gt;Parametros!$B$67:$B$68)*(S34-Parametros!$B$67:$B$68)*Parametros!$E$67:$E$68))-$C$22</f>
        <v/>
      </c>
      <c r="G34" s="45">
        <f>C34-E34-F34</f>
        <v/>
      </c>
      <c r="H34" s="28">
        <f>MAX(0,A34-B34-(Inputs!$D$27*Parametros!$C$44+(Inputs!$D$28+Inputs!$D$29)*Parametros!$C$45+Inputs!$D$30*Parametros!$C$46)-I34)</f>
        <v/>
      </c>
      <c r="I34" s="28">
        <f>MAX(MIN(MAX(A34-B34-(Inputs!$D$27*Parametros!$C$44+(Inputs!$D$28+Inputs!$D$29)*Parametros!$C$45+Inputs!$D$30*Parametros!$C$46),0),Parametros!$C$6*Parametros!$C$9*12)*Parametros!$C$8,Parametros!$C$10*12)</f>
        <v/>
      </c>
      <c r="J34" s="28">
        <f>$C$21*(SUMPRODUCT((T34&gt;Parametros!$B$55:$B$63)*(T34-Parametros!$B$55:$B$63)*Parametros!$E$55:$E$63)+SUMPRODUCT((T34&gt;Parametros!$B$67:$B$68)*(T34-Parametros!$B$67:$B$68)*Parametros!$E$67:$E$68))-$C$22</f>
        <v/>
      </c>
      <c r="K34" s="45">
        <f>C34-I34-J34</f>
        <v/>
      </c>
      <c r="L34" s="28">
        <f>A34-B34-(Inputs!$D$27*Parametros!$C$44+(Inputs!$D$28+Inputs!$D$29)*Parametros!$C$45+Inputs!$D$30*Parametros!$C$46)-(Inputs!$D$32)-((MAX(Inputs!$D$32,Parametros!$C$6*Parametros!$C$13*12))*Parametros!$C$11)</f>
        <v/>
      </c>
      <c r="M34" s="28">
        <f>MAX(0,(Inputs!$D$32)-MIN((Inputs!$D$32),MAX(Parametros!$C$30,(MAX(Inputs!$D$32,Parametros!$C$6*Parametros!$C$13*12))*Parametros!$C$12)))+MAX(L34,0)</f>
        <v/>
      </c>
      <c r="N34" s="28">
        <f>$C$21*(SUMPRODUCT((U34&gt;Parametros!$B$55:$B$63)*(U34-Parametros!$B$55:$B$63)*Parametros!$E$55:$E$63)+SUMPRODUCT((U34&gt;Parametros!$B$67:$B$68)*(U34-Parametros!$B$67:$B$68)*Parametros!$E$67:$E$68))-$C$22</f>
        <v/>
      </c>
      <c r="O34" s="45">
        <f>C34-((MAX(Inputs!$D$32,Parametros!$C$6*Parametros!$C$13*12))*Parametros!$C$12)-((MAX(Inputs!$D$32,Parametros!$C$6*Parametros!$C$13*12))*Parametros!$C$11)-(Inputs!$D$33)-N34</f>
        <v/>
      </c>
      <c r="P34" s="28">
        <f>IF(AND(G34&gt;=$C$19,G33&lt;$C$19),A34,0)</f>
        <v/>
      </c>
      <c r="Q34" s="28">
        <f>IF(AND(K34&gt;=$C$19,K33&lt;$C$19),A34,0)</f>
        <v/>
      </c>
      <c r="R34" s="28">
        <f>IF(AND(O34&gt;=$C$19,O33&lt;$C$19),A34,0)</f>
        <v/>
      </c>
      <c r="S34" s="46">
        <f>(D34+Inputs!$D$37)/$C$21</f>
        <v/>
      </c>
      <c r="T34" s="46">
        <f>(H34+Inputs!$D$37)/$C$21</f>
        <v/>
      </c>
      <c r="U34" s="46">
        <f>(M34+Inputs!$D$37)/$C$21</f>
        <v/>
      </c>
    </row>
    <row r="35">
      <c r="A35" s="48" t="n">
        <v>130000</v>
      </c>
      <c r="B35" s="28">
        <f>($D$10)+A35*(1-$D$9)</f>
        <v/>
      </c>
      <c r="C35" s="28">
        <f>A35-B35</f>
        <v/>
      </c>
      <c r="D35" s="28">
        <f>A35*Parametros!$C$24+MAX(0,A35*Parametros!$C$25-B35)-MAX(0,E35-A35*Parametros!$C$27)</f>
        <v/>
      </c>
      <c r="E35" s="28">
        <f>MAX(MIN(A35*Parametros!$C$7,Parametros!$C$6*Parametros!$C$9*12)*Parametros!$C$8,Parametros!$C$10*12)</f>
        <v/>
      </c>
      <c r="F35" s="28">
        <f>$C$21*(SUMPRODUCT((S35&gt;Parametros!$B$55:$B$63)*(S35-Parametros!$B$55:$B$63)*Parametros!$E$55:$E$63)+SUMPRODUCT((S35&gt;Parametros!$B$67:$B$68)*(S35-Parametros!$B$67:$B$68)*Parametros!$E$67:$E$68))-$C$22</f>
        <v/>
      </c>
      <c r="G35" s="45">
        <f>C35-E35-F35</f>
        <v/>
      </c>
      <c r="H35" s="28">
        <f>MAX(0,A35-B35-(Inputs!$D$27*Parametros!$C$44+(Inputs!$D$28+Inputs!$D$29)*Parametros!$C$45+Inputs!$D$30*Parametros!$C$46)-I35)</f>
        <v/>
      </c>
      <c r="I35" s="28">
        <f>MAX(MIN(MAX(A35-B35-(Inputs!$D$27*Parametros!$C$44+(Inputs!$D$28+Inputs!$D$29)*Parametros!$C$45+Inputs!$D$30*Parametros!$C$46),0),Parametros!$C$6*Parametros!$C$9*12)*Parametros!$C$8,Parametros!$C$10*12)</f>
        <v/>
      </c>
      <c r="J35" s="28">
        <f>$C$21*(SUMPRODUCT((T35&gt;Parametros!$B$55:$B$63)*(T35-Parametros!$B$55:$B$63)*Parametros!$E$55:$E$63)+SUMPRODUCT((T35&gt;Parametros!$B$67:$B$68)*(T35-Parametros!$B$67:$B$68)*Parametros!$E$67:$E$68))-$C$22</f>
        <v/>
      </c>
      <c r="K35" s="45">
        <f>C35-I35-J35</f>
        <v/>
      </c>
      <c r="L35" s="28">
        <f>A35-B35-(Inputs!$D$27*Parametros!$C$44+(Inputs!$D$28+Inputs!$D$29)*Parametros!$C$45+Inputs!$D$30*Parametros!$C$46)-(Inputs!$D$32)-((MAX(Inputs!$D$32,Parametros!$C$6*Parametros!$C$13*12))*Parametros!$C$11)</f>
        <v/>
      </c>
      <c r="M35" s="28">
        <f>MAX(0,(Inputs!$D$32)-MIN((Inputs!$D$32),MAX(Parametros!$C$30,(MAX(Inputs!$D$32,Parametros!$C$6*Parametros!$C$13*12))*Parametros!$C$12)))+MAX(L35,0)</f>
        <v/>
      </c>
      <c r="N35" s="28">
        <f>$C$21*(SUMPRODUCT((U35&gt;Parametros!$B$55:$B$63)*(U35-Parametros!$B$55:$B$63)*Parametros!$E$55:$E$63)+SUMPRODUCT((U35&gt;Parametros!$B$67:$B$68)*(U35-Parametros!$B$67:$B$68)*Parametros!$E$67:$E$68))-$C$22</f>
        <v/>
      </c>
      <c r="O35" s="45">
        <f>C35-((MAX(Inputs!$D$32,Parametros!$C$6*Parametros!$C$13*12))*Parametros!$C$12)-((MAX(Inputs!$D$32,Parametros!$C$6*Parametros!$C$13*12))*Parametros!$C$11)-(Inputs!$D$33)-N35</f>
        <v/>
      </c>
      <c r="P35" s="28">
        <f>IF(AND(G35&gt;=$C$19,G34&lt;$C$19),A35,0)</f>
        <v/>
      </c>
      <c r="Q35" s="28">
        <f>IF(AND(K35&gt;=$C$19,K34&lt;$C$19),A35,0)</f>
        <v/>
      </c>
      <c r="R35" s="28">
        <f>IF(AND(O35&gt;=$C$19,O34&lt;$C$19),A35,0)</f>
        <v/>
      </c>
      <c r="S35" s="46">
        <f>(D35+Inputs!$D$37)/$C$21</f>
        <v/>
      </c>
      <c r="T35" s="46">
        <f>(H35+Inputs!$D$37)/$C$21</f>
        <v/>
      </c>
      <c r="U35" s="46">
        <f>(M35+Inputs!$D$37)/$C$21</f>
        <v/>
      </c>
    </row>
    <row r="36">
      <c r="A36" s="48" t="n">
        <v>140000</v>
      </c>
      <c r="B36" s="28">
        <f>($D$10)+A36*(1-$D$9)</f>
        <v/>
      </c>
      <c r="C36" s="28">
        <f>A36-B36</f>
        <v/>
      </c>
      <c r="D36" s="28">
        <f>A36*Parametros!$C$24+MAX(0,A36*Parametros!$C$25-B36)-MAX(0,E36-A36*Parametros!$C$27)</f>
        <v/>
      </c>
      <c r="E36" s="28">
        <f>MAX(MIN(A36*Parametros!$C$7,Parametros!$C$6*Parametros!$C$9*12)*Parametros!$C$8,Parametros!$C$10*12)</f>
        <v/>
      </c>
      <c r="F36" s="28">
        <f>$C$21*(SUMPRODUCT((S36&gt;Parametros!$B$55:$B$63)*(S36-Parametros!$B$55:$B$63)*Parametros!$E$55:$E$63)+SUMPRODUCT((S36&gt;Parametros!$B$67:$B$68)*(S36-Parametros!$B$67:$B$68)*Parametros!$E$67:$E$68))-$C$22</f>
        <v/>
      </c>
      <c r="G36" s="45">
        <f>C36-E36-F36</f>
        <v/>
      </c>
      <c r="H36" s="28">
        <f>MAX(0,A36-B36-(Inputs!$D$27*Parametros!$C$44+(Inputs!$D$28+Inputs!$D$29)*Parametros!$C$45+Inputs!$D$30*Parametros!$C$46)-I36)</f>
        <v/>
      </c>
      <c r="I36" s="28">
        <f>MAX(MIN(MAX(A36-B36-(Inputs!$D$27*Parametros!$C$44+(Inputs!$D$28+Inputs!$D$29)*Parametros!$C$45+Inputs!$D$30*Parametros!$C$46),0),Parametros!$C$6*Parametros!$C$9*12)*Parametros!$C$8,Parametros!$C$10*12)</f>
        <v/>
      </c>
      <c r="J36" s="28">
        <f>$C$21*(SUMPRODUCT((T36&gt;Parametros!$B$55:$B$63)*(T36-Parametros!$B$55:$B$63)*Parametros!$E$55:$E$63)+SUMPRODUCT((T36&gt;Parametros!$B$67:$B$68)*(T36-Parametros!$B$67:$B$68)*Parametros!$E$67:$E$68))-$C$22</f>
        <v/>
      </c>
      <c r="K36" s="45">
        <f>C36-I36-J36</f>
        <v/>
      </c>
      <c r="L36" s="28">
        <f>A36-B36-(Inputs!$D$27*Parametros!$C$44+(Inputs!$D$28+Inputs!$D$29)*Parametros!$C$45+Inputs!$D$30*Parametros!$C$46)-(Inputs!$D$32)-((MAX(Inputs!$D$32,Parametros!$C$6*Parametros!$C$13*12))*Parametros!$C$11)</f>
        <v/>
      </c>
      <c r="M36" s="28">
        <f>MAX(0,(Inputs!$D$32)-MIN((Inputs!$D$32),MAX(Parametros!$C$30,(MAX(Inputs!$D$32,Parametros!$C$6*Parametros!$C$13*12))*Parametros!$C$12)))+MAX(L36,0)</f>
        <v/>
      </c>
      <c r="N36" s="28">
        <f>$C$21*(SUMPRODUCT((U36&gt;Parametros!$B$55:$B$63)*(U36-Parametros!$B$55:$B$63)*Parametros!$E$55:$E$63)+SUMPRODUCT((U36&gt;Parametros!$B$67:$B$68)*(U36-Parametros!$B$67:$B$68)*Parametros!$E$67:$E$68))-$C$22</f>
        <v/>
      </c>
      <c r="O36" s="45">
        <f>C36-((MAX(Inputs!$D$32,Parametros!$C$6*Parametros!$C$13*12))*Parametros!$C$12)-((MAX(Inputs!$D$32,Parametros!$C$6*Parametros!$C$13*12))*Parametros!$C$11)-(Inputs!$D$33)-N36</f>
        <v/>
      </c>
      <c r="P36" s="28">
        <f>IF(AND(G36&gt;=$C$19,G35&lt;$C$19),A36,0)</f>
        <v/>
      </c>
      <c r="Q36" s="28">
        <f>IF(AND(K36&gt;=$C$19,K35&lt;$C$19),A36,0)</f>
        <v/>
      </c>
      <c r="R36" s="28">
        <f>IF(AND(O36&gt;=$C$19,O35&lt;$C$19),A36,0)</f>
        <v/>
      </c>
      <c r="S36" s="46">
        <f>(D36+Inputs!$D$37)/$C$21</f>
        <v/>
      </c>
      <c r="T36" s="46">
        <f>(H36+Inputs!$D$37)/$C$21</f>
        <v/>
      </c>
      <c r="U36" s="46">
        <f>(M36+Inputs!$D$37)/$C$21</f>
        <v/>
      </c>
    </row>
    <row r="37">
      <c r="A37" s="48" t="n">
        <v>150000</v>
      </c>
      <c r="B37" s="28">
        <f>($D$10)+A37*(1-$D$9)</f>
        <v/>
      </c>
      <c r="C37" s="28">
        <f>A37-B37</f>
        <v/>
      </c>
      <c r="D37" s="28">
        <f>A37*Parametros!$C$24+MAX(0,A37*Parametros!$C$25-B37)-MAX(0,E37-A37*Parametros!$C$27)</f>
        <v/>
      </c>
      <c r="E37" s="28">
        <f>MAX(MIN(A37*Parametros!$C$7,Parametros!$C$6*Parametros!$C$9*12)*Parametros!$C$8,Parametros!$C$10*12)</f>
        <v/>
      </c>
      <c r="F37" s="28">
        <f>$C$21*(SUMPRODUCT((S37&gt;Parametros!$B$55:$B$63)*(S37-Parametros!$B$55:$B$63)*Parametros!$E$55:$E$63)+SUMPRODUCT((S37&gt;Parametros!$B$67:$B$68)*(S37-Parametros!$B$67:$B$68)*Parametros!$E$67:$E$68))-$C$22</f>
        <v/>
      </c>
      <c r="G37" s="45">
        <f>C37-E37-F37</f>
        <v/>
      </c>
      <c r="H37" s="28">
        <f>MAX(0,A37-B37-(Inputs!$D$27*Parametros!$C$44+(Inputs!$D$28+Inputs!$D$29)*Parametros!$C$45+Inputs!$D$30*Parametros!$C$46)-I37)</f>
        <v/>
      </c>
      <c r="I37" s="28">
        <f>MAX(MIN(MAX(A37-B37-(Inputs!$D$27*Parametros!$C$44+(Inputs!$D$28+Inputs!$D$29)*Parametros!$C$45+Inputs!$D$30*Parametros!$C$46),0),Parametros!$C$6*Parametros!$C$9*12)*Parametros!$C$8,Parametros!$C$10*12)</f>
        <v/>
      </c>
      <c r="J37" s="28">
        <f>$C$21*(SUMPRODUCT((T37&gt;Parametros!$B$55:$B$63)*(T37-Parametros!$B$55:$B$63)*Parametros!$E$55:$E$63)+SUMPRODUCT((T37&gt;Parametros!$B$67:$B$68)*(T37-Parametros!$B$67:$B$68)*Parametros!$E$67:$E$68))-$C$22</f>
        <v/>
      </c>
      <c r="K37" s="45">
        <f>C37-I37-J37</f>
        <v/>
      </c>
      <c r="L37" s="28">
        <f>A37-B37-(Inputs!$D$27*Parametros!$C$44+(Inputs!$D$28+Inputs!$D$29)*Parametros!$C$45+Inputs!$D$30*Parametros!$C$46)-(Inputs!$D$32)-((MAX(Inputs!$D$32,Parametros!$C$6*Parametros!$C$13*12))*Parametros!$C$11)</f>
        <v/>
      </c>
      <c r="M37" s="28">
        <f>MAX(0,(Inputs!$D$32)-MIN((Inputs!$D$32),MAX(Parametros!$C$30,(MAX(Inputs!$D$32,Parametros!$C$6*Parametros!$C$13*12))*Parametros!$C$12)))+MAX(L37,0)</f>
        <v/>
      </c>
      <c r="N37" s="28">
        <f>$C$21*(SUMPRODUCT((U37&gt;Parametros!$B$55:$B$63)*(U37-Parametros!$B$55:$B$63)*Parametros!$E$55:$E$63)+SUMPRODUCT((U37&gt;Parametros!$B$67:$B$68)*(U37-Parametros!$B$67:$B$68)*Parametros!$E$67:$E$68))-$C$22</f>
        <v/>
      </c>
      <c r="O37" s="45">
        <f>C37-((MAX(Inputs!$D$32,Parametros!$C$6*Parametros!$C$13*12))*Parametros!$C$12)-((MAX(Inputs!$D$32,Parametros!$C$6*Parametros!$C$13*12))*Parametros!$C$11)-(Inputs!$D$33)-N37</f>
        <v/>
      </c>
      <c r="P37" s="28">
        <f>IF(AND(G37&gt;=$C$19,G36&lt;$C$19),A37,0)</f>
        <v/>
      </c>
      <c r="Q37" s="28">
        <f>IF(AND(K37&gt;=$C$19,K36&lt;$C$19),A37,0)</f>
        <v/>
      </c>
      <c r="R37" s="28">
        <f>IF(AND(O37&gt;=$C$19,O36&lt;$C$19),A37,0)</f>
        <v/>
      </c>
      <c r="S37" s="46">
        <f>(D37+Inputs!$D$37)/$C$21</f>
        <v/>
      </c>
      <c r="T37" s="46">
        <f>(H37+Inputs!$D$37)/$C$21</f>
        <v/>
      </c>
      <c r="U37" s="46">
        <f>(M37+Inputs!$D$37)/$C$21</f>
        <v/>
      </c>
    </row>
    <row r="38">
      <c r="A38" s="48" t="n">
        <v>160000</v>
      </c>
      <c r="B38" s="28">
        <f>($D$10)+A38*(1-$D$9)</f>
        <v/>
      </c>
      <c r="C38" s="28">
        <f>A38-B38</f>
        <v/>
      </c>
      <c r="D38" s="28">
        <f>A38*Parametros!$C$24+MAX(0,A38*Parametros!$C$25-B38)-MAX(0,E38-A38*Parametros!$C$27)</f>
        <v/>
      </c>
      <c r="E38" s="28">
        <f>MAX(MIN(A38*Parametros!$C$7,Parametros!$C$6*Parametros!$C$9*12)*Parametros!$C$8,Parametros!$C$10*12)</f>
        <v/>
      </c>
      <c r="F38" s="28">
        <f>$C$21*(SUMPRODUCT((S38&gt;Parametros!$B$55:$B$63)*(S38-Parametros!$B$55:$B$63)*Parametros!$E$55:$E$63)+SUMPRODUCT((S38&gt;Parametros!$B$67:$B$68)*(S38-Parametros!$B$67:$B$68)*Parametros!$E$67:$E$68))-$C$22</f>
        <v/>
      </c>
      <c r="G38" s="45">
        <f>C38-E38-F38</f>
        <v/>
      </c>
      <c r="H38" s="28">
        <f>MAX(0,A38-B38-(Inputs!$D$27*Parametros!$C$44+(Inputs!$D$28+Inputs!$D$29)*Parametros!$C$45+Inputs!$D$30*Parametros!$C$46)-I38)</f>
        <v/>
      </c>
      <c r="I38" s="28">
        <f>MAX(MIN(MAX(A38-B38-(Inputs!$D$27*Parametros!$C$44+(Inputs!$D$28+Inputs!$D$29)*Parametros!$C$45+Inputs!$D$30*Parametros!$C$46),0),Parametros!$C$6*Parametros!$C$9*12)*Parametros!$C$8,Parametros!$C$10*12)</f>
        <v/>
      </c>
      <c r="J38" s="28">
        <f>$C$21*(SUMPRODUCT((T38&gt;Parametros!$B$55:$B$63)*(T38-Parametros!$B$55:$B$63)*Parametros!$E$55:$E$63)+SUMPRODUCT((T38&gt;Parametros!$B$67:$B$68)*(T38-Parametros!$B$67:$B$68)*Parametros!$E$67:$E$68))-$C$22</f>
        <v/>
      </c>
      <c r="K38" s="45">
        <f>C38-I38-J38</f>
        <v/>
      </c>
      <c r="L38" s="28">
        <f>A38-B38-(Inputs!$D$27*Parametros!$C$44+(Inputs!$D$28+Inputs!$D$29)*Parametros!$C$45+Inputs!$D$30*Parametros!$C$46)-(Inputs!$D$32)-((MAX(Inputs!$D$32,Parametros!$C$6*Parametros!$C$13*12))*Parametros!$C$11)</f>
        <v/>
      </c>
      <c r="M38" s="28">
        <f>MAX(0,(Inputs!$D$32)-MIN((Inputs!$D$32),MAX(Parametros!$C$30,(MAX(Inputs!$D$32,Parametros!$C$6*Parametros!$C$13*12))*Parametros!$C$12)))+MAX(L38,0)</f>
        <v/>
      </c>
      <c r="N38" s="28">
        <f>$C$21*(SUMPRODUCT((U38&gt;Parametros!$B$55:$B$63)*(U38-Parametros!$B$55:$B$63)*Parametros!$E$55:$E$63)+SUMPRODUCT((U38&gt;Parametros!$B$67:$B$68)*(U38-Parametros!$B$67:$B$68)*Parametros!$E$67:$E$68))-$C$22</f>
        <v/>
      </c>
      <c r="O38" s="45">
        <f>C38-((MAX(Inputs!$D$32,Parametros!$C$6*Parametros!$C$13*12))*Parametros!$C$12)-((MAX(Inputs!$D$32,Parametros!$C$6*Parametros!$C$13*12))*Parametros!$C$11)-(Inputs!$D$33)-N38</f>
        <v/>
      </c>
      <c r="P38" s="28">
        <f>IF(AND(G38&gt;=$C$19,G37&lt;$C$19),A38,0)</f>
        <v/>
      </c>
      <c r="Q38" s="28">
        <f>IF(AND(K38&gt;=$C$19,K37&lt;$C$19),A38,0)</f>
        <v/>
      </c>
      <c r="R38" s="28">
        <f>IF(AND(O38&gt;=$C$19,O37&lt;$C$19),A38,0)</f>
        <v/>
      </c>
      <c r="S38" s="46">
        <f>(D38+Inputs!$D$37)/$C$21</f>
        <v/>
      </c>
      <c r="T38" s="46">
        <f>(H38+Inputs!$D$37)/$C$21</f>
        <v/>
      </c>
      <c r="U38" s="46">
        <f>(M38+Inputs!$D$37)/$C$21</f>
        <v/>
      </c>
    </row>
    <row r="39"/>
    <row r="40">
      <c r="A40" s="22" t="inlineStr">
        <is>
          <t>Faturação necessária para o rendimento-alvo — Via 1 — ENI simplificado</t>
        </is>
      </c>
      <c r="C40" s="27">
        <f>IF(MAX(P26:P38)=0,"Fora do intervalo analisado",MAX(P26:P38))</f>
        <v/>
      </c>
    </row>
    <row r="41">
      <c r="A41" s="22" t="inlineStr">
        <is>
          <t>Faturação necessária para o rendimento-alvo — Via 2 — ENI cont. organizada</t>
        </is>
      </c>
      <c r="C41" s="27">
        <f>IF(MAX(Q26:Q38)=0,"Fora do intervalo analisado",MAX(Q26:Q38))</f>
        <v/>
      </c>
    </row>
    <row r="42">
      <c r="A42" s="22" t="inlineStr">
        <is>
          <t>Faturação necessária para o rendimento-alvo — Via 3 — Sociedade transparente</t>
        </is>
      </c>
      <c r="C42" s="27">
        <f>IF(MAX(R26:R38)=0,"Fora do intervalo analisado",MAX(R26:R38))</f>
        <v/>
      </c>
    </row>
    <row r="43"/>
    <row r="44"/>
    <row r="45"/>
    <row r="46">
      <c r="A46" s="2" t="inlineStr">
        <is>
          <t>Como o break-even se move com o peso dos colaboradores</t>
        </is>
      </c>
      <c r="B46" s="7" t="n"/>
      <c r="C46" s="7" t="n"/>
      <c r="D46" s="7" t="n"/>
      <c r="E46" s="7" t="n"/>
      <c r="F46" s="7" t="n"/>
    </row>
    <row r="47" ht="46" customHeight="1">
      <c r="A47" s="20" t="inlineStr">
        <is>
          <t>Quando a faturação vem da própria Dra. Júlia, quase toda ela é margem. Quando vem de um colaborador pago a uma percentagem da sessão, sobra a diferença. Esta tabela mostra o que acontece ao break-even à medida que o peso dos colaboradores sobe, mantendo a receita total constante. A subida não é proporcional: o break-even é os custos fixos a dividir pela margem, e quando a margem se aproxima de zero o break-even dispara para o infinito.</t>
        </is>
      </c>
    </row>
    <row r="48" ht="28" customHeight="1">
      <c r="A48" s="6" t="inlineStr">
        <is>
          <t>Peso dos colaboradores na receita</t>
        </is>
      </c>
      <c r="B48" s="6" t="inlineStr">
        <is>
          <t>Margem de contribuição (%)</t>
        </is>
      </c>
      <c r="C48" s="6" t="inlineStr">
        <is>
          <t>Break-even anual</t>
        </is>
      </c>
      <c r="D48" s="6" t="inlineStr">
        <is>
          <t>Break-even mensal</t>
        </is>
      </c>
      <c r="E48" s="6" t="inlineStr">
        <is>
          <t>Utilização necessária</t>
        </is>
      </c>
      <c r="F48" s="6" t="inlineStr">
        <is>
          <t>Nota</t>
        </is>
      </c>
    </row>
    <row r="49">
      <c r="A49" s="44" t="n">
        <v>0</v>
      </c>
      <c r="B49" s="37">
        <f>1-Inputs!$D$23-A49*Inputs!$D$12</f>
        <v/>
      </c>
      <c r="C49" s="45">
        <f>IF(B49&lt;=0,"não atinge",$D$10/B49)</f>
        <v/>
      </c>
      <c r="D49" s="45">
        <f>IF(B49&lt;=0,"não atinge",C49/12)</f>
        <v/>
      </c>
      <c r="E49" s="37">
        <f>IF(B49&lt;=0,"n/a",C49/(BreakEven!$D$14*Operacao!$D$21))</f>
        <v/>
      </c>
    </row>
    <row r="50">
      <c r="A50" s="44" t="n">
        <v>0.1</v>
      </c>
      <c r="B50" s="37">
        <f>1-Inputs!$D$23-A50*Inputs!$D$12</f>
        <v/>
      </c>
      <c r="C50" s="45">
        <f>IF(B50&lt;=0,"não atinge",$D$10/B50)</f>
        <v/>
      </c>
      <c r="D50" s="45">
        <f>IF(B50&lt;=0,"não atinge",C50/12)</f>
        <v/>
      </c>
      <c r="E50" s="37">
        <f>IF(B50&lt;=0,"n/a",C50/(BreakEven!$D$14*Operacao!$D$21))</f>
        <v/>
      </c>
    </row>
    <row r="51">
      <c r="A51" s="44" t="n">
        <v>0.2</v>
      </c>
      <c r="B51" s="37">
        <f>1-Inputs!$D$23-A51*Inputs!$D$12</f>
        <v/>
      </c>
      <c r="C51" s="45">
        <f>IF(B51&lt;=0,"não atinge",$D$10/B51)</f>
        <v/>
      </c>
      <c r="D51" s="45">
        <f>IF(B51&lt;=0,"não atinge",C51/12)</f>
        <v/>
      </c>
      <c r="E51" s="37">
        <f>IF(B51&lt;=0,"n/a",C51/(BreakEven!$D$14*Operacao!$D$21))</f>
        <v/>
      </c>
    </row>
    <row r="52">
      <c r="A52" s="44" t="n">
        <v>0.3</v>
      </c>
      <c r="B52" s="37">
        <f>1-Inputs!$D$23-A52*Inputs!$D$12</f>
        <v/>
      </c>
      <c r="C52" s="45">
        <f>IF(B52&lt;=0,"não atinge",$D$10/B52)</f>
        <v/>
      </c>
      <c r="D52" s="45">
        <f>IF(B52&lt;=0,"não atinge",C52/12)</f>
        <v/>
      </c>
      <c r="E52" s="37">
        <f>IF(B52&lt;=0,"n/a",C52/(BreakEven!$D$14*Operacao!$D$21))</f>
        <v/>
      </c>
    </row>
    <row r="53">
      <c r="A53" s="44" t="n">
        <v>0.4</v>
      </c>
      <c r="B53" s="37">
        <f>1-Inputs!$D$23-A53*Inputs!$D$12</f>
        <v/>
      </c>
      <c r="C53" s="45">
        <f>IF(B53&lt;=0,"não atinge",$D$10/B53)</f>
        <v/>
      </c>
      <c r="D53" s="45">
        <f>IF(B53&lt;=0,"não atinge",C53/12)</f>
        <v/>
      </c>
      <c r="E53" s="37">
        <f>IF(B53&lt;=0,"n/a",C53/(BreakEven!$D$14*Operacao!$D$21))</f>
        <v/>
      </c>
    </row>
    <row r="54">
      <c r="A54" s="44" t="n">
        <v>0.5</v>
      </c>
      <c r="B54" s="37">
        <f>1-Inputs!$D$23-A54*Inputs!$D$12</f>
        <v/>
      </c>
      <c r="C54" s="45">
        <f>IF(B54&lt;=0,"não atinge",$D$10/B54)</f>
        <v/>
      </c>
      <c r="D54" s="45">
        <f>IF(B54&lt;=0,"não atinge",C54/12)</f>
        <v/>
      </c>
      <c r="E54" s="37">
        <f>IF(B54&lt;=0,"n/a",C54/(BreakEven!$D$14*Operacao!$D$21))</f>
        <v/>
      </c>
    </row>
    <row r="55">
      <c r="A55" s="44" t="n">
        <v>0.6000000000000001</v>
      </c>
      <c r="B55" s="37">
        <f>1-Inputs!$D$23-A55*Inputs!$D$12</f>
        <v/>
      </c>
      <c r="C55" s="45">
        <f>IF(B55&lt;=0,"não atinge",$D$10/B55)</f>
        <v/>
      </c>
      <c r="D55" s="45">
        <f>IF(B55&lt;=0,"não atinge",C55/12)</f>
        <v/>
      </c>
      <c r="E55" s="37">
        <f>IF(B55&lt;=0,"n/a",C55/(BreakEven!$D$14*Operacao!$D$21))</f>
        <v/>
      </c>
    </row>
    <row r="56">
      <c r="A56" s="44" t="n">
        <v>0.7000000000000001</v>
      </c>
      <c r="B56" s="37">
        <f>1-Inputs!$D$23-A56*Inputs!$D$12</f>
        <v/>
      </c>
      <c r="C56" s="45">
        <f>IF(B56&lt;=0,"não atinge",$D$10/B56)</f>
        <v/>
      </c>
      <c r="D56" s="45">
        <f>IF(B56&lt;=0,"não atinge",C56/12)</f>
        <v/>
      </c>
      <c r="E56" s="37">
        <f>IF(B56&lt;=0,"n/a",C56/(BreakEven!$D$14*Operacao!$D$21))</f>
        <v/>
      </c>
    </row>
    <row r="57">
      <c r="A57" s="44" t="n">
        <v>0.8</v>
      </c>
      <c r="B57" s="37">
        <f>1-Inputs!$D$23-A57*Inputs!$D$12</f>
        <v/>
      </c>
      <c r="C57" s="45">
        <f>IF(B57&lt;=0,"não atinge",$D$10/B57)</f>
        <v/>
      </c>
      <c r="D57" s="45">
        <f>IF(B57&lt;=0,"não atinge",C57/12)</f>
        <v/>
      </c>
      <c r="E57" s="37">
        <f>IF(B57&lt;=0,"n/a",C57/(BreakEven!$D$14*Operacao!$D$21))</f>
        <v/>
      </c>
    </row>
    <row r="58"/>
    <row r="59" ht="32" customHeight="1">
      <c r="A59" s="20" t="inlineStr">
        <is>
          <t>A ata regista, no ponto 6, que «se uma parte relevante da faturação corresponder a honorários de prestadores, a margem efetiva pode não justificar a alteração de estrutura». Esta tabela é essa frase em números — e mostra que o problema aparece muito antes de a margem chegar a zero.</t>
        </is>
      </c>
    </row>
    <row r="60"/>
    <row r="61" ht="30" customHeight="1">
      <c r="A61" s="20" t="inlineStr">
        <is>
          <t>A via 4 não consta desta tabela: o líquido depende da política de distribuição e da opção de englobamento, que são decisões e não funções da faturação. Para a via 4, fixar essas alavancas na folha Inputs e ler o resultado na folha Comparativo.</t>
        </is>
      </c>
    </row>
  </sheetData>
  <sheetProtection selectLockedCells="0" selectUnlockedCells="0" sheet="1" objects="0" insertRows="1" insertHyperlinks="1" autoFilter="1" scenarios="0" formatColumns="1" deleteColumns="1" insertColumns="1" pivotTables="1" deleteRows="1" formatCells="0" formatRows="1" sort="1"/>
  <mergeCells count="5">
    <mergeCell ref="A2:F2"/>
    <mergeCell ref="A47:F47"/>
    <mergeCell ref="A24:R24"/>
    <mergeCell ref="A61:R61"/>
    <mergeCell ref="A59:F59"/>
  </mergeCells>
  <dataValidations count="1">
    <dataValidation sqref="C19" showDropDown="0" showInputMessage="0" showErrorMessage="1" allowBlank="0" errorTitle="Valor inválido" error="Introduza um número. Valores monetários não podem ser negativos." type="decimal" operator="greaterThanOrEqual">
      <formula1>0</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50" customWidth="1" min="1" max="1"/>
    <col width="12" customWidth="1" min="2" max="2"/>
    <col width="17" customWidth="1" min="3" max="3"/>
    <col width="17" customWidth="1" min="4" max="4"/>
    <col width="50" customWidth="1" min="5" max="5"/>
  </cols>
  <sheetData>
    <row r="1">
      <c r="A1" s="1" t="inlineStr">
        <is>
          <t>M1 — Espaço: 2 versus 3 gabinetes</t>
        </is>
      </c>
    </row>
    <row r="2" ht="44" customHeight="1">
      <c r="A2" s="20" t="inlineStr">
        <is>
          <t>A ata deixa a escolha em aberto e trata-a como uma questão de renda. Não é: o terceiro gabinete acrescenta capacidade e acrescenta custo fixo, e só compensa a partir de um nível de utilização. O output principal desta folha é esse nível.</t>
        </is>
      </c>
    </row>
    <row r="3"/>
    <row r="4" ht="28" customHeight="1">
      <c r="A4" s="6" t="inlineStr">
        <is>
          <t>Rubrica</t>
        </is>
      </c>
      <c r="B4" s="6" t="inlineStr">
        <is>
          <t>Ref.</t>
        </is>
      </c>
      <c r="C4" s="6" t="inlineStr">
        <is>
          <t>Opção A — 2 gabinetes</t>
        </is>
      </c>
      <c r="D4" s="6" t="inlineStr">
        <is>
          <t>Opção B — 3 gabinetes</t>
        </is>
      </c>
      <c r="E4" s="6" t="inlineStr">
        <is>
          <t>Nota</t>
        </is>
      </c>
    </row>
    <row r="5">
      <c r="A5" s="2" t="inlineStr">
        <is>
          <t>Características de cada espaço</t>
        </is>
      </c>
      <c r="B5" s="7" t="n"/>
      <c r="C5" s="7" t="n"/>
      <c r="D5" s="7" t="n"/>
      <c r="E5" s="7" t="n"/>
    </row>
    <row r="6">
      <c r="A6" s="8" t="inlineStr">
        <is>
          <t>N.º de gabinetes</t>
        </is>
      </c>
      <c r="B6" s="9" t="inlineStr">
        <is>
          <t>N_GAB</t>
        </is>
      </c>
      <c r="C6" s="15" t="n">
        <v>2</v>
      </c>
      <c r="D6" s="15" t="n">
        <v>3</v>
      </c>
      <c r="E6" s="17" t="inlineStr"/>
    </row>
    <row r="7">
      <c r="A7" s="8" t="inlineStr">
        <is>
          <t>Renda anual</t>
        </is>
      </c>
      <c r="B7" s="9" t="inlineStr">
        <is>
          <t>RENDA</t>
        </is>
      </c>
      <c r="C7" s="16" t="n">
        <v>14400</v>
      </c>
      <c r="D7" s="16" t="n">
        <v>19200</v>
      </c>
      <c r="E7" s="17" t="inlineStr">
        <is>
          <t>Input cliente 3 — EM FALTA, para os dois espaços.</t>
        </is>
      </c>
    </row>
    <row r="8">
      <c r="A8" s="8" t="inlineStr">
        <is>
          <t>Condomínio e encargos anuais</t>
        </is>
      </c>
      <c r="B8" s="9" t="inlineStr">
        <is>
          <t>CONDOM</t>
        </is>
      </c>
      <c r="C8" s="16" t="n">
        <v>1500</v>
      </c>
      <c r="D8" s="16" t="n">
        <v>2000</v>
      </c>
      <c r="E8" s="17" t="inlineStr">
        <is>
          <t>EM FALTA.</t>
        </is>
      </c>
    </row>
    <row r="9">
      <c r="A9" s="8" t="inlineStr">
        <is>
          <t>Obras de adaptação</t>
        </is>
      </c>
      <c r="B9" s="9" t="inlineStr">
        <is>
          <t>OBRAS</t>
        </is>
      </c>
      <c r="C9" s="16" t="n">
        <v>25000</v>
      </c>
      <c r="D9" s="16" t="n">
        <v>38000</v>
      </c>
      <c r="E9" s="17" t="inlineStr">
        <is>
          <t>Input cliente 4 — EM FALTA.</t>
        </is>
      </c>
    </row>
    <row r="10">
      <c r="A10" s="8" t="inlineStr">
        <is>
          <t>Equipamento clínico</t>
        </is>
      </c>
      <c r="B10" s="9" t="inlineStr">
        <is>
          <t>EQUIP</t>
        </is>
      </c>
      <c r="C10" s="16" t="n">
        <v>20000</v>
      </c>
      <c r="D10" s="16" t="n">
        <v>26000</v>
      </c>
      <c r="E10" s="17" t="inlineStr">
        <is>
          <t>EM FALTA.</t>
        </is>
      </c>
    </row>
    <row r="11">
      <c r="A11" s="2" t="inlineStr">
        <is>
          <t>Pressupostos comuns</t>
        </is>
      </c>
      <c r="B11" s="7" t="n"/>
      <c r="C11" s="7" t="n"/>
      <c r="D11" s="7" t="n"/>
      <c r="E11" s="7" t="n"/>
    </row>
    <row r="12">
      <c r="A12" s="8" t="inlineStr">
        <is>
          <t>Taxa de utilização a testar</t>
        </is>
      </c>
      <c r="B12" s="9" t="inlineStr">
        <is>
          <t>UTIL</t>
        </is>
      </c>
      <c r="C12" s="13" t="n">
        <v>0.45</v>
      </c>
      <c r="D12" s="13" t="n">
        <v>0.45</v>
      </c>
      <c r="E12" s="17" t="inlineStr">
        <is>
          <t>ALAVANCA. Varrida na tabela em baixo. Aqui serve para a fotografia de um único ponto.</t>
        </is>
      </c>
    </row>
    <row r="13">
      <c r="A13" s="8" t="inlineStr">
        <is>
          <t>Preço médio por consulta</t>
        </is>
      </c>
      <c r="B13" s="9" t="inlineStr">
        <is>
          <t>PRECO_M</t>
        </is>
      </c>
      <c r="C13" s="47">
        <f>BreakEven!$D$14</f>
        <v/>
      </c>
      <c r="D13" s="47">
        <f>BreakEven!$D$14</f>
        <v/>
      </c>
      <c r="E13" s="17" t="inlineStr"/>
    </row>
    <row r="14">
      <c r="A14" s="8" t="inlineStr">
        <is>
          <t>Custos variáveis em % da receita</t>
        </is>
      </c>
      <c r="B14" s="9" t="inlineStr">
        <is>
          <t>PCT_VAR</t>
        </is>
      </c>
      <c r="C14" s="36">
        <f>1-BreakEven!$D$9</f>
        <v/>
      </c>
      <c r="D14" s="36">
        <f>1-BreakEven!$D$9</f>
        <v/>
      </c>
      <c r="E14" s="17" t="inlineStr"/>
    </row>
    <row r="15">
      <c r="A15" s="8" t="inlineStr">
        <is>
          <t>Outros custos fixos (seguros, software, outros)</t>
        </is>
      </c>
      <c r="B15" s="9" t="inlineStr">
        <is>
          <t>CF_OUTROS</t>
        </is>
      </c>
      <c r="C15" s="35">
        <f>Inputs!$D$21+Inputs!$D$22+Inputs!$D$25</f>
        <v/>
      </c>
      <c r="D15" s="35">
        <f>Inputs!$D$21+Inputs!$D$22+Inputs!$D$25</f>
        <v/>
      </c>
      <c r="E15" s="17" t="inlineStr"/>
    </row>
    <row r="16">
      <c r="A16" s="8" t="inlineStr">
        <is>
          <t>Taxa de esforço fiscal e contributiva aplicada</t>
        </is>
      </c>
      <c r="B16" s="9" t="inlineStr">
        <is>
          <t>TX_ESF</t>
        </is>
      </c>
      <c r="C16" s="36">
        <f>V2_ENI_ContOrg!$D$30</f>
        <v/>
      </c>
      <c r="D16" s="36">
        <f>V2_ENI_ContOrg!$D$30</f>
        <v/>
      </c>
      <c r="E16" s="17" t="inlineStr">
        <is>
          <t>Usa a taxa de esforço da via 2 no cenário Base. É uma aproximação assumida: a comparação entre espaços é operacional, e a estrutura fiscal é a mesma nos dois. Registado em R1-33.</t>
        </is>
      </c>
    </row>
    <row r="17">
      <c r="A17" s="2" t="inlineStr">
        <is>
          <t>Capacidade e resultado ao nível de utilização testado</t>
        </is>
      </c>
      <c r="B17" s="7" t="n"/>
      <c r="C17" s="7" t="n"/>
      <c r="D17" s="7" t="n"/>
      <c r="E17" s="7" t="n"/>
    </row>
    <row r="18">
      <c r="A18" s="22" t="inlineStr">
        <is>
          <t>Capacidade anual (consultas)</t>
        </is>
      </c>
      <c r="B18" s="9" t="inlineStr">
        <is>
          <t>CAP</t>
        </is>
      </c>
      <c r="C18" s="23">
        <f>$C$6*Operacao!$D$7*Operacao!$D$20</f>
        <v/>
      </c>
      <c r="D18" s="23">
        <f>$D$6*Operacao!$D$7*Operacao!$D$20</f>
        <v/>
      </c>
      <c r="E18" s="17" t="inlineStr"/>
    </row>
    <row r="19">
      <c r="A19" s="8" t="inlineStr">
        <is>
          <t>Consultas ao nível de utilização testado</t>
        </is>
      </c>
      <c r="B19" s="9" t="inlineStr">
        <is>
          <t>CONS</t>
        </is>
      </c>
      <c r="C19" s="24">
        <f>$C$18*$C$12</f>
        <v/>
      </c>
      <c r="D19" s="24">
        <f>$D$18*$D$12</f>
        <v/>
      </c>
      <c r="E19" s="17" t="inlineStr"/>
    </row>
    <row r="20">
      <c r="A20" s="22" t="inlineStr">
        <is>
          <t>Faturação potencial</t>
        </is>
      </c>
      <c r="B20" s="9" t="inlineStr">
        <is>
          <t>FAT</t>
        </is>
      </c>
      <c r="C20" s="27">
        <f>$C$19*$C$13</f>
        <v/>
      </c>
      <c r="D20" s="27">
        <f>$D$19*$D$13</f>
        <v/>
      </c>
      <c r="E20" s="17" t="inlineStr"/>
    </row>
    <row r="21">
      <c r="A21" s="8" t="inlineStr">
        <is>
          <t>Margem de contribuição</t>
        </is>
      </c>
      <c r="B21" s="9" t="inlineStr">
        <is>
          <t>MC</t>
        </is>
      </c>
      <c r="C21" s="28">
        <f>$C$20*(1-$C$14)</f>
        <v/>
      </c>
      <c r="D21" s="28">
        <f>$D$20*(1-$D$14)</f>
        <v/>
      </c>
      <c r="E21" s="17" t="inlineStr"/>
    </row>
    <row r="22">
      <c r="A22" s="8" t="inlineStr">
        <is>
          <t>Custos fixos totais</t>
        </is>
      </c>
      <c r="B22" s="9" t="inlineStr">
        <is>
          <t>CF</t>
        </is>
      </c>
      <c r="C22" s="28">
        <f>$C$7+$C$8+$C$15</f>
        <v/>
      </c>
      <c r="D22" s="28">
        <f>$D$7+$D$8+$D$15</f>
        <v/>
      </c>
      <c r="E22" s="17" t="inlineStr"/>
    </row>
    <row r="23">
      <c r="A23" s="22" t="inlineStr">
        <is>
          <t>Resultado operacional</t>
        </is>
      </c>
      <c r="B23" s="9" t="inlineStr">
        <is>
          <t>RES</t>
        </is>
      </c>
      <c r="C23" s="27">
        <f>$C$21-$C$22</f>
        <v/>
      </c>
      <c r="D23" s="27">
        <f>$D$21-$D$22</f>
        <v/>
      </c>
      <c r="E23" s="17" t="inlineStr"/>
    </row>
    <row r="24">
      <c r="A24" s="22" t="inlineStr">
        <is>
          <t>Resultado líquido de impostos e contribuições</t>
        </is>
      </c>
      <c r="B24" s="9" t="inlineStr">
        <is>
          <t>RES_LIQ</t>
        </is>
      </c>
      <c r="C24" s="27">
        <f>$C$23*(1-$C$16)</f>
        <v/>
      </c>
      <c r="D24" s="27">
        <f>$D$23*(1-$D$16)</f>
        <v/>
      </c>
      <c r="E24" s="17" t="inlineStr"/>
    </row>
    <row r="25">
      <c r="A25" s="2" t="inlineStr">
        <is>
          <t>Investimento e recuperação</t>
        </is>
      </c>
      <c r="B25" s="7" t="n"/>
      <c r="C25" s="7" t="n"/>
      <c r="D25" s="7" t="n"/>
      <c r="E25" s="7" t="n"/>
    </row>
    <row r="26">
      <c r="A26" s="8" t="inlineStr">
        <is>
          <t>IVA não dedutível sobre o investimento</t>
        </is>
      </c>
      <c r="B26" s="9" t="inlineStr">
        <is>
          <t>IVA_P</t>
        </is>
      </c>
      <c r="C26" s="28">
        <f>($C$9+$C$10)*Parametros!$C$41</f>
        <v/>
      </c>
      <c r="D26" s="28">
        <f>($D$9+$D$10)*Parametros!$C$41</f>
        <v/>
      </c>
      <c r="E26" s="17" t="inlineStr">
        <is>
          <t>Custo definitivo: a fisioterapia é isenta sem direito à dedução.</t>
        </is>
      </c>
    </row>
    <row r="27">
      <c r="A27" s="22" t="inlineStr">
        <is>
          <t>INVESTIMENTO INICIAL TOTAL</t>
        </is>
      </c>
      <c r="B27" s="9" t="inlineStr">
        <is>
          <t>INV</t>
        </is>
      </c>
      <c r="C27" s="27">
        <f>$C$9+$C$10+$C$26</f>
        <v/>
      </c>
      <c r="D27" s="27">
        <f>$D$9+$D$10+$D$26</f>
        <v/>
      </c>
      <c r="E27" s="17" t="inlineStr"/>
    </row>
    <row r="28">
      <c r="A28" s="22" t="inlineStr">
        <is>
          <t>PAYBACK (anos)</t>
        </is>
      </c>
      <c r="B28" s="9" t="inlineStr">
        <is>
          <t>PAYBACK</t>
        </is>
      </c>
      <c r="C28" s="49">
        <f>IF($C$24&lt;=0,"Não recupera",$C$27/$C$24)</f>
        <v/>
      </c>
      <c r="D28" s="49">
        <f>IF($D$24&lt;=0,"Não recupera",$D$27/$D$24)</f>
        <v/>
      </c>
      <c r="E28" s="17" t="inlineStr">
        <is>
          <t>Anos de resultado líquido necessários para recuperar o investimento, ao nível de utilização testado. Não desconta o valor do dinheiro no tempo — para esta dimensão, não compensa.</t>
        </is>
      </c>
    </row>
    <row r="29">
      <c r="A29" s="8" t="inlineStr">
        <is>
          <t>Retorno anual sobre o investimento</t>
        </is>
      </c>
      <c r="B29" s="9" t="inlineStr">
        <is>
          <t>ROI</t>
        </is>
      </c>
      <c r="C29" s="37">
        <f>IF($C$27&lt;=0,0,$C$24/$C$27)</f>
        <v/>
      </c>
      <c r="D29" s="37">
        <f>IF($D$27&lt;=0,0,$D$24/$D$27)</f>
        <v/>
      </c>
      <c r="E29" s="17" t="inlineStr"/>
    </row>
    <row r="30">
      <c r="A30" s="22" t="inlineStr">
        <is>
          <t>Utilização necessária para o break-even operacional</t>
        </is>
      </c>
      <c r="B30" s="9" t="inlineStr">
        <is>
          <t>BE_UTIL</t>
        </is>
      </c>
      <c r="C30" s="25">
        <f>IF($C$18*$C$13*(1-$C$14)&lt;=0,0,$C$22/($C$18*$C$13*(1-$C$14)))</f>
        <v/>
      </c>
      <c r="D30" s="25">
        <f>IF($D$18*$D$13*(1-$D$14)&lt;=0,0,$D$22/($D$18*$D$13*(1-$D$14)))</f>
        <v/>
      </c>
      <c r="E30" s="17" t="inlineStr">
        <is>
          <t>Acima de 100%, o espaço não cobre os próprios custos fixos a lotação máxima.</t>
        </is>
      </c>
    </row>
    <row r="31"/>
    <row r="32">
      <c r="A32" s="2" t="inlineStr">
        <is>
          <t>O custo do degrau — se o terceiro gabinete não encher</t>
        </is>
      </c>
      <c r="B32" s="7" t="n"/>
      <c r="C32" s="7" t="n"/>
      <c r="D32" s="7" t="n"/>
      <c r="E32" s="7" t="n"/>
    </row>
    <row r="33" ht="26" customHeight="1">
      <c r="A33" s="22" t="inlineStr">
        <is>
          <t>Custo fixo adicional anual da opção B</t>
        </is>
      </c>
      <c r="C33" s="27">
        <f>$D$22-$C$22</f>
        <v/>
      </c>
      <c r="E33" s="17" t="inlineStr">
        <is>
          <t>Renda e condomínio a mais, todos os anos, independentemente de haver doentes para os ocupar.</t>
        </is>
      </c>
    </row>
    <row r="34" ht="26" customHeight="1">
      <c r="A34" s="22" t="inlineStr">
        <is>
          <t>Custo do degrau, líquido de impostos</t>
        </is>
      </c>
      <c r="C34" s="27">
        <f>($D$22-$C$22)*(1-$C$16)</f>
        <v/>
      </c>
      <c r="E34" s="17" t="inlineStr">
        <is>
          <t>É este o valor que a Dra. Júlia perde por ano se escolher três gabinetes e a procura não passar do que dois comportavam.</t>
        </is>
      </c>
    </row>
    <row r="35" ht="26" customHeight="1">
      <c r="A35" s="22" t="inlineStr">
        <is>
          <t>Investimento adicional da opção B</t>
        </is>
      </c>
      <c r="C35" s="27">
        <f>$D$27-$C$27</f>
        <v/>
      </c>
      <c r="E35" s="17" t="inlineStr">
        <is>
          <t>Obras, equipamento e IVA irrecuperável a mais, de uma só vez.</t>
        </is>
      </c>
    </row>
    <row r="36" ht="26" customHeight="1">
      <c r="A36" s="22" t="inlineStr">
        <is>
          <t>Consultas anuais adicionais necessárias para o degrau se pagar</t>
        </is>
      </c>
      <c r="C36" s="23">
        <f>IF($C$13*(1-$C$14)&lt;=0,0,($D$22-$C$22)/($C$13*(1-$C$14)))</f>
        <v/>
      </c>
      <c r="E36" s="17" t="inlineStr">
        <is>
          <t>Traduzido para a única unidade que a cliente controla: doentes.</t>
        </is>
      </c>
    </row>
    <row r="37"/>
    <row r="38">
      <c r="A38" s="2" t="inlineStr">
        <is>
          <t>A partir de que procura compensa o terceiro gabinete</t>
        </is>
      </c>
      <c r="B38" s="7" t="n"/>
      <c r="C38" s="7" t="n"/>
      <c r="D38" s="7" t="n"/>
      <c r="E38" s="7" t="n"/>
    </row>
    <row r="39" ht="44" customHeight="1">
      <c r="A39" s="20" t="inlineStr">
        <is>
          <t>O eixo é a PROCURA, em consultas por ano — não a taxa de utilização. Comparar as duas opções à mesma percentagem de utilização daria automaticamente mais 50% de consultas à opção de três gabinetes, e a comparação não significaria nada. À mesma procura, cada opção atende o que a sua capacidade permite, e o terceiro gabinete só vale alguma coisa quando a procura ultrapassa a capacidade de dois.</t>
        </is>
      </c>
    </row>
    <row r="40" ht="28" customHeight="1">
      <c r="A40" s="6" t="inlineStr">
        <is>
          <t>Procura anual (consultas)</t>
        </is>
      </c>
      <c r="B40" s="6" t="inlineStr">
        <is>
          <t>Resultado líquido — 2 gabinetes</t>
        </is>
      </c>
      <c r="C40" s="6" t="inlineStr">
        <is>
          <t>Resultado líquido — 3 gabinetes</t>
        </is>
      </c>
      <c r="D40" s="6" t="inlineStr">
        <is>
          <t>Diferencial</t>
        </is>
      </c>
      <c r="E40" s="6" t="inlineStr">
        <is>
          <t>Viragem</t>
        </is>
      </c>
    </row>
    <row r="41">
      <c r="A41" s="38" t="n">
        <v>1000</v>
      </c>
      <c r="B41" s="28">
        <f>(MIN(A41,$C$18)*$C$13*(1-$C$14)-$C$22)*(1-$C$16)</f>
        <v/>
      </c>
      <c r="C41" s="28">
        <f>(MIN(A41,$D$18)*$D$13*(1-$D$14)-$D$22)*(1-$D$16)</f>
        <v/>
      </c>
      <c r="D41" s="45">
        <f>C41-B41</f>
        <v/>
      </c>
      <c r="E41" s="24">
        <f>0</f>
        <v/>
      </c>
    </row>
    <row r="42">
      <c r="A42" s="38" t="n">
        <v>1400</v>
      </c>
      <c r="B42" s="28">
        <f>(MIN(A42,$C$18)*$C$13*(1-$C$14)-$C$22)*(1-$C$16)</f>
        <v/>
      </c>
      <c r="C42" s="28">
        <f>(MIN(A42,$D$18)*$D$13*(1-$D$14)-$D$22)*(1-$D$16)</f>
        <v/>
      </c>
      <c r="D42" s="45">
        <f>C42-B42</f>
        <v/>
      </c>
      <c r="E42" s="24">
        <f>IF(AND(D42&gt;=0,D41&lt;0),A42,0)</f>
        <v/>
      </c>
    </row>
    <row r="43">
      <c r="A43" s="38" t="n">
        <v>1800</v>
      </c>
      <c r="B43" s="28">
        <f>(MIN(A43,$C$18)*$C$13*(1-$C$14)-$C$22)*(1-$C$16)</f>
        <v/>
      </c>
      <c r="C43" s="28">
        <f>(MIN(A43,$D$18)*$D$13*(1-$D$14)-$D$22)*(1-$D$16)</f>
        <v/>
      </c>
      <c r="D43" s="45">
        <f>C43-B43</f>
        <v/>
      </c>
      <c r="E43" s="24">
        <f>IF(AND(D43&gt;=0,D42&lt;0),A43,0)</f>
        <v/>
      </c>
    </row>
    <row r="44">
      <c r="A44" s="38" t="n">
        <v>2200</v>
      </c>
      <c r="B44" s="28">
        <f>(MIN(A44,$C$18)*$C$13*(1-$C$14)-$C$22)*(1-$C$16)</f>
        <v/>
      </c>
      <c r="C44" s="28">
        <f>(MIN(A44,$D$18)*$D$13*(1-$D$14)-$D$22)*(1-$D$16)</f>
        <v/>
      </c>
      <c r="D44" s="45">
        <f>C44-B44</f>
        <v/>
      </c>
      <c r="E44" s="24">
        <f>IF(AND(D44&gt;=0,D43&lt;0),A44,0)</f>
        <v/>
      </c>
    </row>
    <row r="45">
      <c r="A45" s="38" t="n">
        <v>2600</v>
      </c>
      <c r="B45" s="28">
        <f>(MIN(A45,$C$18)*$C$13*(1-$C$14)-$C$22)*(1-$C$16)</f>
        <v/>
      </c>
      <c r="C45" s="28">
        <f>(MIN(A45,$D$18)*$D$13*(1-$D$14)-$D$22)*(1-$D$16)</f>
        <v/>
      </c>
      <c r="D45" s="45">
        <f>C45-B45</f>
        <v/>
      </c>
      <c r="E45" s="24">
        <f>IF(AND(D45&gt;=0,D44&lt;0),A45,0)</f>
        <v/>
      </c>
    </row>
    <row r="46">
      <c r="A46" s="38" t="n">
        <v>3000</v>
      </c>
      <c r="B46" s="28">
        <f>(MIN(A46,$C$18)*$C$13*(1-$C$14)-$C$22)*(1-$C$16)</f>
        <v/>
      </c>
      <c r="C46" s="28">
        <f>(MIN(A46,$D$18)*$D$13*(1-$D$14)-$D$22)*(1-$D$16)</f>
        <v/>
      </c>
      <c r="D46" s="45">
        <f>C46-B46</f>
        <v/>
      </c>
      <c r="E46" s="24">
        <f>IF(AND(D46&gt;=0,D45&lt;0),A46,0)</f>
        <v/>
      </c>
    </row>
    <row r="47">
      <c r="A47" s="38" t="n">
        <v>3400</v>
      </c>
      <c r="B47" s="28">
        <f>(MIN(A47,$C$18)*$C$13*(1-$C$14)-$C$22)*(1-$C$16)</f>
        <v/>
      </c>
      <c r="C47" s="28">
        <f>(MIN(A47,$D$18)*$D$13*(1-$D$14)-$D$22)*(1-$D$16)</f>
        <v/>
      </c>
      <c r="D47" s="45">
        <f>C47-B47</f>
        <v/>
      </c>
      <c r="E47" s="24">
        <f>IF(AND(D47&gt;=0,D46&lt;0),A47,0)</f>
        <v/>
      </c>
    </row>
    <row r="48">
      <c r="A48" s="38" t="n">
        <v>3800</v>
      </c>
      <c r="B48" s="28">
        <f>(MIN(A48,$C$18)*$C$13*(1-$C$14)-$C$22)*(1-$C$16)</f>
        <v/>
      </c>
      <c r="C48" s="28">
        <f>(MIN(A48,$D$18)*$D$13*(1-$D$14)-$D$22)*(1-$D$16)</f>
        <v/>
      </c>
      <c r="D48" s="45">
        <f>C48-B48</f>
        <v/>
      </c>
      <c r="E48" s="24">
        <f>IF(AND(D48&gt;=0,D47&lt;0),A48,0)</f>
        <v/>
      </c>
    </row>
    <row r="49">
      <c r="A49" s="38" t="n">
        <v>4200</v>
      </c>
      <c r="B49" s="28">
        <f>(MIN(A49,$C$18)*$C$13*(1-$C$14)-$C$22)*(1-$C$16)</f>
        <v/>
      </c>
      <c r="C49" s="28">
        <f>(MIN(A49,$D$18)*$D$13*(1-$D$14)-$D$22)*(1-$D$16)</f>
        <v/>
      </c>
      <c r="D49" s="45">
        <f>C49-B49</f>
        <v/>
      </c>
      <c r="E49" s="24">
        <f>IF(AND(D49&gt;=0,D48&lt;0),A49,0)</f>
        <v/>
      </c>
    </row>
    <row r="50">
      <c r="A50" s="38" t="n">
        <v>4600</v>
      </c>
      <c r="B50" s="28">
        <f>(MIN(A50,$C$18)*$C$13*(1-$C$14)-$C$22)*(1-$C$16)</f>
        <v/>
      </c>
      <c r="C50" s="28">
        <f>(MIN(A50,$D$18)*$D$13*(1-$D$14)-$D$22)*(1-$D$16)</f>
        <v/>
      </c>
      <c r="D50" s="45">
        <f>C50-B50</f>
        <v/>
      </c>
      <c r="E50" s="24">
        <f>IF(AND(D50&gt;=0,D49&lt;0),A50,0)</f>
        <v/>
      </c>
    </row>
    <row r="51">
      <c r="A51" s="38" t="n">
        <v>5000</v>
      </c>
      <c r="B51" s="28">
        <f>(MIN(A51,$C$18)*$C$13*(1-$C$14)-$C$22)*(1-$C$16)</f>
        <v/>
      </c>
      <c r="C51" s="28">
        <f>(MIN(A51,$D$18)*$D$13*(1-$D$14)-$D$22)*(1-$D$16)</f>
        <v/>
      </c>
      <c r="D51" s="45">
        <f>C51-B51</f>
        <v/>
      </c>
      <c r="E51" s="24">
        <f>IF(AND(D51&gt;=0,D50&lt;0),A51,0)</f>
        <v/>
      </c>
    </row>
    <row r="52">
      <c r="A52" s="38" t="n">
        <v>5400</v>
      </c>
      <c r="B52" s="28">
        <f>(MIN(A52,$C$18)*$C$13*(1-$C$14)-$C$22)*(1-$C$16)</f>
        <v/>
      </c>
      <c r="C52" s="28">
        <f>(MIN(A52,$D$18)*$D$13*(1-$D$14)-$D$22)*(1-$D$16)</f>
        <v/>
      </c>
      <c r="D52" s="45">
        <f>C52-B52</f>
        <v/>
      </c>
      <c r="E52" s="24">
        <f>IF(AND(D52&gt;=0,D51&lt;0),A52,0)</f>
        <v/>
      </c>
    </row>
    <row r="53">
      <c r="A53" s="38" t="n">
        <v>5800</v>
      </c>
      <c r="B53" s="28">
        <f>(MIN(A53,$C$18)*$C$13*(1-$C$14)-$C$22)*(1-$C$16)</f>
        <v/>
      </c>
      <c r="C53" s="28">
        <f>(MIN(A53,$D$18)*$D$13*(1-$D$14)-$D$22)*(1-$D$16)</f>
        <v/>
      </c>
      <c r="D53" s="45">
        <f>C53-B53</f>
        <v/>
      </c>
      <c r="E53" s="24">
        <f>IF(AND(D53&gt;=0,D52&lt;0),A53,0)</f>
        <v/>
      </c>
    </row>
    <row r="54">
      <c r="A54" s="38" t="n">
        <v>6200</v>
      </c>
      <c r="B54" s="28">
        <f>(MIN(A54,$C$18)*$C$13*(1-$C$14)-$C$22)*(1-$C$16)</f>
        <v/>
      </c>
      <c r="C54" s="28">
        <f>(MIN(A54,$D$18)*$D$13*(1-$D$14)-$D$22)*(1-$D$16)</f>
        <v/>
      </c>
      <c r="D54" s="45">
        <f>C54-B54</f>
        <v/>
      </c>
      <c r="E54" s="24">
        <f>IF(AND(D54&gt;=0,D53&lt;0),A54,0)</f>
        <v/>
      </c>
    </row>
    <row r="55">
      <c r="A55" s="38" t="n">
        <v>6600</v>
      </c>
      <c r="B55" s="28">
        <f>(MIN(A55,$C$18)*$C$13*(1-$C$14)-$C$22)*(1-$C$16)</f>
        <v/>
      </c>
      <c r="C55" s="28">
        <f>(MIN(A55,$D$18)*$D$13*(1-$D$14)-$D$22)*(1-$D$16)</f>
        <v/>
      </c>
      <c r="D55" s="45">
        <f>C55-B55</f>
        <v/>
      </c>
      <c r="E55" s="24">
        <f>IF(AND(D55&gt;=0,D54&lt;0),A55,0)</f>
        <v/>
      </c>
    </row>
    <row r="56">
      <c r="A56" s="38" t="n">
        <v>7000</v>
      </c>
      <c r="B56" s="28">
        <f>(MIN(A56,$C$18)*$C$13*(1-$C$14)-$C$22)*(1-$C$16)</f>
        <v/>
      </c>
      <c r="C56" s="28">
        <f>(MIN(A56,$D$18)*$D$13*(1-$D$14)-$D$22)*(1-$D$16)</f>
        <v/>
      </c>
      <c r="D56" s="45">
        <f>C56-B56</f>
        <v/>
      </c>
      <c r="E56" s="24">
        <f>IF(AND(D56&gt;=0,D55&lt;0),A56,0)</f>
        <v/>
      </c>
    </row>
    <row r="57"/>
    <row r="58">
      <c r="A58" s="22" t="inlineStr">
        <is>
          <t>O TERCEIRO GABINETE COMPENSA A PARTIR DE (consultas/ano)</t>
        </is>
      </c>
      <c r="C58" s="23">
        <f>IF(MAX(E41:E56)=0,"Nunca compensa no intervalo analisado",MAX(E41:E56))</f>
        <v/>
      </c>
    </row>
    <row r="59">
      <c r="A59" s="22" t="inlineStr">
        <is>
          <t>…o que corresponde, no espaço de 2 gabinetes, a uma utilização de</t>
        </is>
      </c>
      <c r="C59" s="25">
        <f>IF(ISNUMBER($C$58),$C$58/$C$18,"n/a")</f>
        <v/>
      </c>
    </row>
    <row r="60">
      <c r="A60" s="8" t="inlineStr">
        <is>
          <t>Consultas por dia úteis implícitas nesse ponto</t>
        </is>
      </c>
      <c r="C60" s="21">
        <f>IF(ISNUMBER($C$58),$C$58/Operacao!$D$7,"n/a")</f>
        <v/>
      </c>
    </row>
    <row r="61"/>
    <row r="62" ht="32" customHeight="1">
      <c r="A62" s="20" t="inlineStr">
        <is>
          <t>Leitura: abaixo do ponto de viragem, o terceiro gabinete é renda e obras a mais sem receita adicional — a opção de dois gabinetes ganha por diferença de custo fixo. Acima, a opção de dois perde consultas por falta de espaço e a de três recupera o custo. A pergunta a fazer à cliente não é qual espaço prefere: é quantos doentes por dia espera atender no fim do segundo ano. Resolução do varrimento: 400 consultas por ano. O ponto de viragem real situa-se algures no intervalo anterior ao indicado — refinar por interpolação se a decisão ficar perto do limite. Registado em R1-34.</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E2"/>
    <mergeCell ref="A39:E39"/>
    <mergeCell ref="A62:E62"/>
  </mergeCells>
  <dataValidations count="2">
    <dataValidation sqref="C7 C8 C9 C10 D7 D8 D9 D10" showDropDown="0" showInputMessage="0" showErrorMessage="1" allowBlank="0" errorTitle="Valor inválido" error="Introduza um número. Valores monetários não podem ser negativos." type="decimal" operator="greaterThanOrEqual">
      <formula1>0</formula1>
    </dataValidation>
    <dataValidation sqref="C12 D12" showDropDown="0" showInputMessage="0" showErrorMessage="1" allowBlank="0" errorTitle="Percentagem inválida" error="Introduza a percentagem como fração: 0,25 para 25%." type="decimal" operator="between">
      <formula1>0</formula1>
      <formula2>2</formula2>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30" customWidth="1" min="1" max="1"/>
    <col width="10" customWidth="1" min="2" max="2"/>
    <col width="30" customWidth="1" min="3" max="3"/>
    <col width="16" customWidth="1" min="4" max="4"/>
    <col width="18" customWidth="1" min="5" max="5"/>
    <col width="12" customWidth="1" min="6" max="6"/>
    <col width="12" customWidth="1" min="7" max="7"/>
    <col width="22" customWidth="1" min="8" max="8"/>
    <col width="12" customWidth="1" min="9" max="9"/>
  </cols>
  <sheetData>
    <row r="1">
      <c r="A1" s="1" t="inlineStr">
        <is>
          <t>M1 — Validação</t>
        </is>
      </c>
    </row>
    <row r="2" ht="46" customHeight="1">
      <c r="A2" s="20" t="inlineStr">
        <is>
          <t>Cada linha confronta o valor produzido pela folha de cálculo com um recálculo independente, escrito a partir das mesmas normas sem reutilizar nenhuma fórmula do modelo. Uma divergência significa que uma das duas implementações está errada. Nenhum número entra no relatório com esta folha vermelha, nem sem a assinatura das colunas H e I.</t>
        </is>
      </c>
    </row>
    <row r="3"/>
    <row r="4" ht="28" customHeight="1">
      <c r="A4" s="6" t="inlineStr">
        <is>
          <t>Verificação</t>
        </is>
      </c>
      <c r="B4" s="6" t="inlineStr">
        <is>
          <t>Cenário</t>
        </is>
      </c>
      <c r="C4" s="6" t="inlineStr">
        <is>
          <t>Grandeza</t>
        </is>
      </c>
      <c r="D4" s="6" t="inlineStr">
        <is>
          <t>Valor do modelo</t>
        </is>
      </c>
      <c r="E4" s="6" t="inlineStr">
        <is>
          <t>Recálculo independente</t>
        </is>
      </c>
      <c r="F4" s="6" t="inlineStr">
        <is>
          <t>Diferença</t>
        </is>
      </c>
      <c r="G4" s="6" t="inlineStr">
        <is>
          <t>Estado</t>
        </is>
      </c>
      <c r="H4" s="6" t="inlineStr">
        <is>
          <t>Validado por (assinatura)</t>
        </is>
      </c>
      <c r="I4" s="6" t="inlineStr">
        <is>
          <t>Data</t>
        </is>
      </c>
    </row>
    <row r="5">
      <c r="A5" s="8" t="inlineStr">
        <is>
          <t>V1 — ENI simplificado</t>
        </is>
      </c>
      <c r="B5" s="8" t="inlineStr">
        <is>
          <t>Base</t>
        </is>
      </c>
      <c r="C5" s="8" t="inlineStr">
        <is>
          <t>IRS imputável à atividade</t>
        </is>
      </c>
      <c r="D5" s="47">
        <f>V1_ENI_Simplificado!$D$36</f>
        <v/>
      </c>
      <c r="E5" s="50" t="n">
        <v>21022.94</v>
      </c>
      <c r="F5" s="29">
        <f>D5-E5</f>
        <v/>
      </c>
      <c r="G5" s="51">
        <f>IF(ABS(F5)&lt;0.5,"OK","DIVERGE")</f>
        <v/>
      </c>
      <c r="H5" s="52" t="n"/>
      <c r="I5" s="52" t="n"/>
    </row>
    <row r="6">
      <c r="A6" s="8" t="inlineStr"/>
      <c r="B6" s="8" t="inlineStr">
        <is>
          <t>Base</t>
        </is>
      </c>
      <c r="C6" s="8" t="inlineStr">
        <is>
          <t>Segurança Social (total)</t>
        </is>
      </c>
      <c r="D6" s="47">
        <f>V1_ENI_Simplificado!$D$23</f>
        <v/>
      </c>
      <c r="E6" s="50" t="n">
        <v>15099.84</v>
      </c>
      <c r="F6" s="29">
        <f>D6-E6</f>
        <v/>
      </c>
      <c r="G6" s="51">
        <f>IF(ABS(F6)&lt;0.5,"OK","DIVERGE")</f>
        <v/>
      </c>
      <c r="H6" s="52" t="n"/>
      <c r="I6" s="52" t="n"/>
    </row>
    <row r="7">
      <c r="A7" s="8" t="inlineStr"/>
      <c r="B7" s="8" t="inlineStr">
        <is>
          <t>Base</t>
        </is>
      </c>
      <c r="C7" s="8" t="inlineStr">
        <is>
          <t>Total impostos e contribuições</t>
        </is>
      </c>
      <c r="D7" s="47">
        <f>V1_ENI_Simplificado!$D$40</f>
        <v/>
      </c>
      <c r="E7" s="50" t="n">
        <v>36122.78</v>
      </c>
      <c r="F7" s="29">
        <f>D7-E7</f>
        <v/>
      </c>
      <c r="G7" s="51">
        <f>IF(ABS(F7)&lt;0.5,"OK","DIVERGE")</f>
        <v/>
      </c>
      <c r="H7" s="52" t="n"/>
      <c r="I7" s="52" t="n"/>
    </row>
    <row r="8">
      <c r="A8" s="8" t="inlineStr"/>
      <c r="B8" s="8" t="inlineStr">
        <is>
          <t>Base</t>
        </is>
      </c>
      <c r="C8" s="8" t="inlineStr">
        <is>
          <t>Líquido para a sócia</t>
        </is>
      </c>
      <c r="D8" s="47">
        <f>V1_ENI_Simplificado!$D$44</f>
        <v/>
      </c>
      <c r="E8" s="50" t="n">
        <v>11513.22</v>
      </c>
      <c r="F8" s="29">
        <f>D8-E8</f>
        <v/>
      </c>
      <c r="G8" s="51">
        <f>IF(ABS(F8)&lt;0.5,"OK","DIVERGE")</f>
        <v/>
      </c>
      <c r="H8" s="52" t="n"/>
      <c r="I8" s="52" t="n"/>
    </row>
    <row r="9"/>
    <row r="10">
      <c r="A10" s="8" t="inlineStr">
        <is>
          <t>V2 — ENI cont. organizada</t>
        </is>
      </c>
      <c r="B10" s="8" t="inlineStr">
        <is>
          <t>Base</t>
        </is>
      </c>
      <c r="C10" s="8" t="inlineStr">
        <is>
          <t>IRS imputável à atividade</t>
        </is>
      </c>
      <c r="D10" s="47">
        <f>V2_ENI_ContOrg!$D$25</f>
        <v/>
      </c>
      <c r="E10" s="50" t="n">
        <v>7300.06</v>
      </c>
      <c r="F10" s="29">
        <f>D10-E10</f>
        <v/>
      </c>
      <c r="G10" s="51">
        <f>IF(ABS(F10)&lt;0.5,"OK","DIVERGE")</f>
        <v/>
      </c>
      <c r="H10" s="52" t="n"/>
      <c r="I10" s="52" t="n"/>
    </row>
    <row r="11">
      <c r="A11" s="8" t="inlineStr"/>
      <c r="B11" s="8" t="inlineStr">
        <is>
          <t>Base</t>
        </is>
      </c>
      <c r="C11" s="8" t="inlineStr">
        <is>
          <t>Segurança Social (total)</t>
        </is>
      </c>
      <c r="D11" s="47">
        <f>V2_ENI_ContOrg!$D$13</f>
        <v/>
      </c>
      <c r="E11" s="50" t="n">
        <v>8660.450000000001</v>
      </c>
      <c r="F11" s="29">
        <f>D11-E11</f>
        <v/>
      </c>
      <c r="G11" s="51">
        <f>IF(ABS(F11)&lt;0.5,"OK","DIVERGE")</f>
        <v/>
      </c>
      <c r="H11" s="52" t="n"/>
      <c r="I11" s="52" t="n"/>
    </row>
    <row r="12">
      <c r="A12" s="8" t="inlineStr"/>
      <c r="B12" s="8" t="inlineStr">
        <is>
          <t>Base</t>
        </is>
      </c>
      <c r="C12" s="8" t="inlineStr">
        <is>
          <t>Total impostos e contribuições</t>
        </is>
      </c>
      <c r="D12" s="47">
        <f>V2_ENI_ContOrg!$D$29</f>
        <v/>
      </c>
      <c r="E12" s="50" t="n">
        <v>15960.51</v>
      </c>
      <c r="F12" s="29">
        <f>D12-E12</f>
        <v/>
      </c>
      <c r="G12" s="51">
        <f>IF(ABS(F12)&lt;0.5,"OK","DIVERGE")</f>
        <v/>
      </c>
      <c r="H12" s="52" t="n"/>
      <c r="I12" s="52" t="n"/>
    </row>
    <row r="13">
      <c r="A13" s="8" t="inlineStr"/>
      <c r="B13" s="8" t="inlineStr">
        <is>
          <t>Base</t>
        </is>
      </c>
      <c r="C13" s="8" t="inlineStr">
        <is>
          <t>Líquido para a sócia</t>
        </is>
      </c>
      <c r="D13" s="47">
        <f>V2_ENI_ContOrg!$D$33</f>
        <v/>
      </c>
      <c r="E13" s="50" t="n">
        <v>31675.49</v>
      </c>
      <c r="F13" s="29">
        <f>D13-E13</f>
        <v/>
      </c>
      <c r="G13" s="51">
        <f>IF(ABS(F13)&lt;0.5,"OK","DIVERGE")</f>
        <v/>
      </c>
      <c r="H13" s="52" t="n"/>
      <c r="I13" s="52" t="n"/>
    </row>
    <row r="14"/>
    <row r="15">
      <c r="A15" s="8" t="inlineStr">
        <is>
          <t>V3 — Soc. transparente</t>
        </is>
      </c>
      <c r="B15" s="8" t="inlineStr">
        <is>
          <t>Base</t>
        </is>
      </c>
      <c r="C15" s="8" t="inlineStr">
        <is>
          <t>IRS imputável à atividade</t>
        </is>
      </c>
      <c r="D15" s="47">
        <f>V3_Soc_Transparente!$D$31</f>
        <v/>
      </c>
      <c r="E15" s="50" t="n">
        <v>7477.92</v>
      </c>
      <c r="F15" s="29">
        <f>D15-E15</f>
        <v/>
      </c>
      <c r="G15" s="51">
        <f>IF(ABS(F15)&lt;0.5,"OK","DIVERGE")</f>
        <v/>
      </c>
      <c r="H15" s="52" t="n"/>
      <c r="I15" s="52" t="n"/>
    </row>
    <row r="16">
      <c r="A16" s="8" t="inlineStr"/>
      <c r="B16" s="8" t="inlineStr">
        <is>
          <t>Base</t>
        </is>
      </c>
      <c r="C16" s="8" t="inlineStr">
        <is>
          <t>Segurança Social (total)</t>
        </is>
      </c>
      <c r="D16" s="47">
        <f>V3_Soc_Transparente!$D$18+V3_Soc_Transparente!$D$12</f>
        <v/>
      </c>
      <c r="E16" s="50" t="n">
        <v>5838</v>
      </c>
      <c r="F16" s="29">
        <f>D16-E16</f>
        <v/>
      </c>
      <c r="G16" s="51">
        <f>IF(ABS(F16)&lt;0.5,"OK","DIVERGE")</f>
        <v/>
      </c>
      <c r="H16" s="52" t="n"/>
      <c r="I16" s="52" t="n"/>
    </row>
    <row r="17">
      <c r="A17" s="8" t="inlineStr"/>
      <c r="B17" s="8" t="inlineStr">
        <is>
          <t>Base</t>
        </is>
      </c>
      <c r="C17" s="8" t="inlineStr">
        <is>
          <t>Total impostos e contribuições</t>
        </is>
      </c>
      <c r="D17" s="47">
        <f>V3_Soc_Transparente!$D$35</f>
        <v/>
      </c>
      <c r="E17" s="50" t="n">
        <v>14115.92</v>
      </c>
      <c r="F17" s="29">
        <f>D17-E17</f>
        <v/>
      </c>
      <c r="G17" s="51">
        <f>IF(ABS(F17)&lt;0.5,"OK","DIVERGE")</f>
        <v/>
      </c>
      <c r="H17" s="52" t="n"/>
      <c r="I17" s="52" t="n"/>
    </row>
    <row r="18">
      <c r="A18" s="8" t="inlineStr"/>
      <c r="B18" s="8" t="inlineStr">
        <is>
          <t>Base</t>
        </is>
      </c>
      <c r="C18" s="8" t="inlineStr">
        <is>
          <t>Líquido para a sócia</t>
        </is>
      </c>
      <c r="D18" s="47">
        <f>V3_Soc_Transparente!$D$39</f>
        <v/>
      </c>
      <c r="E18" s="50" t="n">
        <v>33520.08</v>
      </c>
      <c r="F18" s="29">
        <f>D18-E18</f>
        <v/>
      </c>
      <c r="G18" s="51">
        <f>IF(ABS(F18)&lt;0.5,"OK","DIVERGE")</f>
        <v/>
      </c>
      <c r="H18" s="52" t="n"/>
      <c r="I18" s="52" t="n"/>
    </row>
    <row r="19"/>
    <row r="20">
      <c r="A20" s="8" t="inlineStr">
        <is>
          <t>V4 — Soc. não transparente</t>
        </is>
      </c>
      <c r="B20" s="8" t="inlineStr">
        <is>
          <t>Base</t>
        </is>
      </c>
      <c r="C20" s="8" t="inlineStr">
        <is>
          <t>IRS imputável à atividade</t>
        </is>
      </c>
      <c r="D20" s="47">
        <f>V4_Soc_NaoTransparente!$D$38</f>
        <v/>
      </c>
      <c r="E20" s="50" t="n">
        <v>2382.04</v>
      </c>
      <c r="F20" s="29">
        <f>D20-E20</f>
        <v/>
      </c>
      <c r="G20" s="51">
        <f>IF(ABS(F20)&lt;0.5,"OK","DIVERGE")</f>
        <v/>
      </c>
      <c r="H20" s="52" t="n"/>
      <c r="I20" s="52" t="n"/>
    </row>
    <row r="21">
      <c r="A21" s="8" t="inlineStr"/>
      <c r="B21" s="8" t="inlineStr">
        <is>
          <t>Base</t>
        </is>
      </c>
      <c r="C21" s="8" t="inlineStr">
        <is>
          <t>Segurança Social (total)</t>
        </is>
      </c>
      <c r="D21" s="47">
        <f>V4_Soc_NaoTransparente!$D$40+V4_Soc_NaoTransparente!$D$13</f>
        <v/>
      </c>
      <c r="E21" s="50" t="n">
        <v>5838</v>
      </c>
      <c r="F21" s="29">
        <f>D21-E21</f>
        <v/>
      </c>
      <c r="G21" s="51">
        <f>IF(ABS(F21)&lt;0.5,"OK","DIVERGE")</f>
        <v/>
      </c>
      <c r="H21" s="52" t="n"/>
      <c r="I21" s="52" t="n"/>
    </row>
    <row r="22">
      <c r="A22" s="8" t="inlineStr"/>
      <c r="B22" s="8" t="inlineStr">
        <is>
          <t>Base</t>
        </is>
      </c>
      <c r="C22" s="8" t="inlineStr">
        <is>
          <t>Total impostos e contribuições</t>
        </is>
      </c>
      <c r="D22" s="47">
        <f>V4_Soc_NaoTransparente!$D$43</f>
        <v/>
      </c>
      <c r="E22" s="50" t="n">
        <v>18792.52</v>
      </c>
      <c r="F22" s="29">
        <f>D22-E22</f>
        <v/>
      </c>
      <c r="G22" s="51">
        <f>IF(ABS(F22)&lt;0.5,"OK","DIVERGE")</f>
        <v/>
      </c>
      <c r="H22" s="52" t="n"/>
      <c r="I22" s="52" t="n"/>
    </row>
    <row r="23">
      <c r="A23" s="8" t="inlineStr"/>
      <c r="B23" s="8" t="inlineStr">
        <is>
          <t>Base</t>
        </is>
      </c>
      <c r="C23" s="8" t="inlineStr">
        <is>
          <t>Líquido para a sócia</t>
        </is>
      </c>
      <c r="D23" s="47">
        <f>V4_Soc_NaoTransparente!$D$47</f>
        <v/>
      </c>
      <c r="E23" s="50" t="n">
        <v>24612.36</v>
      </c>
      <c r="F23" s="29">
        <f>D23-E23</f>
        <v/>
      </c>
      <c r="G23" s="51">
        <f>IF(ABS(F23)&lt;0.5,"OK","DIVERGE")</f>
        <v/>
      </c>
      <c r="H23" s="52" t="n"/>
      <c r="I23" s="52" t="n"/>
    </row>
    <row r="24"/>
    <row r="25">
      <c r="A25" s="8" t="inlineStr">
        <is>
          <t>V1 — ENI simplificado</t>
        </is>
      </c>
      <c r="B25" s="8" t="inlineStr">
        <is>
          <t>Alto</t>
        </is>
      </c>
      <c r="C25" s="8" t="inlineStr">
        <is>
          <t>IRS imputável à atividade</t>
        </is>
      </c>
      <c r="D25" s="47">
        <f>V1_ENI_Simplificado!$E$36</f>
        <v/>
      </c>
      <c r="E25" s="50" t="n">
        <v>38645.12</v>
      </c>
      <c r="F25" s="29">
        <f>D25-E25</f>
        <v/>
      </c>
      <c r="G25" s="51">
        <f>IF(ABS(F25)&lt;0.5,"OK","DIVERGE")</f>
        <v/>
      </c>
      <c r="H25" s="52" t="n"/>
      <c r="I25" s="52" t="n"/>
    </row>
    <row r="26">
      <c r="A26" s="8" t="inlineStr"/>
      <c r="B26" s="8" t="inlineStr">
        <is>
          <t>Alto</t>
        </is>
      </c>
      <c r="C26" s="8" t="inlineStr">
        <is>
          <t>Segurança Social (total)</t>
        </is>
      </c>
      <c r="D26" s="47">
        <f>V1_ENI_Simplificado!$E$23</f>
        <v/>
      </c>
      <c r="E26" s="50" t="n">
        <v>16101.36</v>
      </c>
      <c r="F26" s="29">
        <f>D26-E26</f>
        <v/>
      </c>
      <c r="G26" s="51">
        <f>IF(ABS(F26)&lt;0.5,"OK","DIVERGE")</f>
        <v/>
      </c>
      <c r="H26" s="52" t="n"/>
      <c r="I26" s="52" t="n"/>
    </row>
    <row r="27">
      <c r="A27" s="8" t="inlineStr"/>
      <c r="B27" s="8" t="inlineStr">
        <is>
          <t>Alto</t>
        </is>
      </c>
      <c r="C27" s="8" t="inlineStr">
        <is>
          <t>Total impostos e contribuições</t>
        </is>
      </c>
      <c r="D27" s="47">
        <f>V1_ENI_Simplificado!$E$40</f>
        <v/>
      </c>
      <c r="E27" s="50" t="n">
        <v>54746.48</v>
      </c>
      <c r="F27" s="29">
        <f>D27-E27</f>
        <v/>
      </c>
      <c r="G27" s="51">
        <f>IF(ABS(F27)&lt;0.5,"OK","DIVERGE")</f>
        <v/>
      </c>
      <c r="H27" s="52" t="n"/>
      <c r="I27" s="52" t="n"/>
    </row>
    <row r="28">
      <c r="A28" s="8" t="inlineStr"/>
      <c r="B28" s="8" t="inlineStr">
        <is>
          <t>Alto</t>
        </is>
      </c>
      <c r="C28" s="8" t="inlineStr">
        <is>
          <t>Líquido para a sócia</t>
        </is>
      </c>
      <c r="D28" s="47">
        <f>V1_ENI_Simplificado!$E$44</f>
        <v/>
      </c>
      <c r="E28" s="50" t="n">
        <v>11088.52</v>
      </c>
      <c r="F28" s="29">
        <f>D28-E28</f>
        <v/>
      </c>
      <c r="G28" s="51">
        <f>IF(ABS(F28)&lt;0.5,"OK","DIVERGE")</f>
        <v/>
      </c>
      <c r="H28" s="52" t="n"/>
      <c r="I28" s="52" t="n"/>
    </row>
    <row r="29"/>
    <row r="30">
      <c r="A30" s="22" t="inlineStr">
        <is>
          <t>Estado global</t>
        </is>
      </c>
      <c r="D30" s="26">
        <f>IF(COUNTIF($G$6:$G$28,"DIVERGE")=0,"TODAS AS VERIFICAÇÕES OK","HÁ DIVERGÊNCIAS")</f>
        <v/>
      </c>
      <c r="E30" s="39" t="n"/>
      <c r="F30" s="39" t="n"/>
      <c r="G30" s="40" t="n"/>
    </row>
    <row r="31"/>
    <row r="32" ht="46" customHeight="1">
      <c r="A32" s="20" t="inlineStr">
        <is>
          <t>O que esta folha NÃO valida: que os parâmetros da folha Parâmetros estejam corretos e em vigor para 2026, e que a leitura normativa esteja certa. Duas implementações da mesma leitura errada concordam perfeitamente. A validação normativa é da equipa de Fiscalidade e assina-se na coluna H.</t>
        </is>
      </c>
    </row>
    <row r="33"/>
    <row r="34">
      <c r="A34" s="2" t="inlineStr">
        <is>
          <t>Bloco 2 — folhas operacionais, financeiras e de risco</t>
        </is>
      </c>
      <c r="B34" s="7" t="n"/>
      <c r="C34" s="7" t="n"/>
      <c r="D34" s="7" t="n"/>
      <c r="E34" s="7" t="n"/>
      <c r="F34" s="7" t="n"/>
      <c r="G34" s="7" t="n"/>
      <c r="H34" s="7" t="n"/>
      <c r="I34" s="7" t="n"/>
    </row>
    <row r="35" ht="30" customHeight="1">
      <c r="A35" s="20" t="inlineStr">
        <is>
          <t>Acrescentado depois de a auditoria A1 ter apurado que 68% das fórmulas do ficheiro não tinham verificação independente, e que as folhas não verificadas eram precisamente as que sustentam a decisão.</t>
        </is>
      </c>
    </row>
    <row r="36">
      <c r="A36" s="8" t="inlineStr">
        <is>
          <t>Operacao</t>
        </is>
      </c>
      <c r="B36" s="8" t="inlineStr">
        <is>
          <t>Base</t>
        </is>
      </c>
      <c r="C36" s="8" t="inlineStr">
        <is>
          <t>Capacidade anual instalada (consultas)</t>
        </is>
      </c>
      <c r="D36" s="53">
        <f>Operacao!$D$21</f>
        <v/>
      </c>
      <c r="E36" s="38" t="n">
        <v>4693.333333</v>
      </c>
      <c r="F36" s="54">
        <f>D36-E36</f>
        <v/>
      </c>
      <c r="G36" s="51">
        <f>IF(ABS(F36)&lt;0.01,"OK","DIVERGE")</f>
        <v/>
      </c>
      <c r="H36" s="52" t="n"/>
      <c r="I36" s="52" t="n"/>
    </row>
    <row r="37">
      <c r="A37" s="8" t="inlineStr">
        <is>
          <t>Operacao</t>
        </is>
      </c>
      <c r="B37" s="8" t="inlineStr">
        <is>
          <t>Base</t>
        </is>
      </c>
      <c r="C37" s="8" t="inlineStr">
        <is>
          <t>Taxa de utilização dos gabinetes</t>
        </is>
      </c>
      <c r="D37" s="55">
        <f>Operacao!$D$26</f>
        <v/>
      </c>
      <c r="E37" s="56" t="n">
        <v>0.447443</v>
      </c>
      <c r="F37" s="54">
        <f>D37-E37</f>
        <v/>
      </c>
      <c r="G37" s="51">
        <f>IF(ABS(F37)&lt;0.01,"OK","DIVERGE")</f>
        <v/>
      </c>
      <c r="H37" s="52" t="n"/>
      <c r="I37" s="52" t="n"/>
    </row>
    <row r="38">
      <c r="A38" s="8" t="inlineStr">
        <is>
          <t>Operacao</t>
        </is>
      </c>
      <c r="B38" s="8" t="inlineStr">
        <is>
          <t>Base</t>
        </is>
      </c>
      <c r="C38" s="8" t="inlineStr">
        <is>
          <t>Faturação anual total gerada</t>
        </is>
      </c>
      <c r="D38" s="47">
        <f>Operacao!$D$31</f>
        <v/>
      </c>
      <c r="E38" s="50" t="n">
        <v>100800</v>
      </c>
      <c r="F38" s="54">
        <f>D38-E38</f>
        <v/>
      </c>
      <c r="G38" s="51">
        <f>IF(ABS(F38)&lt;0.01,"OK","DIVERGE")</f>
        <v/>
      </c>
      <c r="H38" s="52" t="n"/>
      <c r="I38" s="52" t="n"/>
    </row>
    <row r="39">
      <c r="A39" s="8" t="inlineStr">
        <is>
          <t>IVA</t>
        </is>
      </c>
      <c r="B39" s="8" t="inlineStr">
        <is>
          <t>Base</t>
        </is>
      </c>
      <c r="C39" s="8" t="inlineStr">
        <is>
          <t>IVA suportado no investimento</t>
        </is>
      </c>
      <c r="D39" s="47">
        <f>IVA!$D$10</f>
        <v/>
      </c>
      <c r="E39" s="50" t="n">
        <v>10810</v>
      </c>
      <c r="F39" s="54">
        <f>D39-E39</f>
        <v/>
      </c>
      <c r="G39" s="51">
        <f>IF(ABS(F39)&lt;0.01,"OK","DIVERGE")</f>
        <v/>
      </c>
      <c r="H39" s="52" t="n"/>
      <c r="I39" s="52" t="n"/>
    </row>
    <row r="40">
      <c r="A40" s="8" t="inlineStr">
        <is>
          <t>BreakEven</t>
        </is>
      </c>
      <c r="B40" s="8" t="inlineStr">
        <is>
          <t>Base</t>
        </is>
      </c>
      <c r="C40" s="8" t="inlineStr">
        <is>
          <t>Margem de contribuição (%)</t>
        </is>
      </c>
      <c r="D40" s="55">
        <f>BreakEven!$D$9</f>
        <v/>
      </c>
      <c r="E40" s="56" t="n">
        <v>0.67</v>
      </c>
      <c r="F40" s="54">
        <f>D40-E40</f>
        <v/>
      </c>
      <c r="G40" s="51">
        <f>IF(ABS(F40)&lt;0.01,"OK","DIVERGE")</f>
        <v/>
      </c>
      <c r="H40" s="52" t="n"/>
      <c r="I40" s="52" t="n"/>
    </row>
    <row r="41">
      <c r="A41" s="8" t="inlineStr">
        <is>
          <t>BreakEven</t>
        </is>
      </c>
      <c r="B41" s="8" t="inlineStr">
        <is>
          <t>Base</t>
        </is>
      </c>
      <c r="C41" s="8" t="inlineStr">
        <is>
          <t>Break-even operacional anual</t>
        </is>
      </c>
      <c r="D41" s="47">
        <f>BreakEven!$D$11</f>
        <v/>
      </c>
      <c r="E41" s="50" t="n">
        <v>29701.492537</v>
      </c>
      <c r="F41" s="54">
        <f>D41-E41</f>
        <v/>
      </c>
      <c r="G41" s="51">
        <f>IF(ABS(F41)&lt;0.01,"OK","DIVERGE")</f>
        <v/>
      </c>
      <c r="H41" s="52" t="n"/>
      <c r="I41" s="52" t="n"/>
    </row>
    <row r="42">
      <c r="A42" s="8" t="inlineStr">
        <is>
          <t>BreakEven</t>
        </is>
      </c>
      <c r="B42" s="8" t="inlineStr">
        <is>
          <t>Base</t>
        </is>
      </c>
      <c r="C42" s="8" t="inlineStr">
        <is>
          <t>Utilização necessária no break-even</t>
        </is>
      </c>
      <c r="D42" s="55">
        <f>BreakEven!$D$16</f>
        <v/>
      </c>
      <c r="E42" s="56" t="n">
        <v>0.131843</v>
      </c>
      <c r="F42" s="54">
        <f>D42-E42</f>
        <v/>
      </c>
      <c r="G42" s="51">
        <f>IF(ABS(F42)&lt;0.01,"OK","DIVERGE")</f>
        <v/>
      </c>
      <c r="H42" s="52" t="n"/>
      <c r="I42" s="52" t="n"/>
    </row>
    <row r="43">
      <c r="A43" s="8" t="inlineStr">
        <is>
          <t>RiscoLaboral</t>
        </is>
      </c>
      <c r="B43" s="8" t="inlineStr">
        <is>
          <t>Base</t>
        </is>
      </c>
      <c r="C43" s="8" t="inlineStr">
        <is>
          <t>Passivo contingente total</t>
        </is>
      </c>
      <c r="D43" s="47">
        <f>RiscoLaboral!$D$14</f>
        <v/>
      </c>
      <c r="E43" s="50" t="n">
        <v>77064.75</v>
      </c>
      <c r="F43" s="54">
        <f>D43-E43</f>
        <v/>
      </c>
      <c r="G43" s="51">
        <f>IF(ABS(F43)&lt;0.01,"OK","DIVERGE")</f>
        <v/>
      </c>
      <c r="H43" s="52" t="n"/>
      <c r="I43" s="52" t="n"/>
    </row>
    <row r="44">
      <c r="A44" s="8" t="inlineStr">
        <is>
          <t>Espaco</t>
        </is>
      </c>
      <c r="B44" s="8" t="inlineStr">
        <is>
          <t>Base</t>
        </is>
      </c>
      <c r="C44" s="8" t="inlineStr">
        <is>
          <t>Payback da opção A (2 gabinetes)</t>
        </is>
      </c>
      <c r="D44" s="57">
        <f>Espaco!$C$28</f>
        <v/>
      </c>
      <c r="E44" s="58" t="n">
        <v>1.733365</v>
      </c>
      <c r="F44" s="54">
        <f>D44-E44</f>
        <v/>
      </c>
      <c r="G44" s="51">
        <f>IF(ABS(F44)&lt;0.01,"OK","DIVERGE")</f>
        <v/>
      </c>
      <c r="H44" s="52" t="n"/>
      <c r="I44" s="52" t="n"/>
    </row>
    <row r="45">
      <c r="A45" s="8" t="inlineStr">
        <is>
          <t>Tesouraria</t>
        </is>
      </c>
      <c r="B45" s="8" t="inlineStr">
        <is>
          <t>Base</t>
        </is>
      </c>
      <c r="C45" s="8" t="inlineStr">
        <is>
          <t>Total a desembolsar no arranque</t>
        </is>
      </c>
      <c r="D45" s="47">
        <f>Tesouraria!$C$9</f>
        <v/>
      </c>
      <c r="E45" s="50" t="n">
        <v>61410</v>
      </c>
      <c r="F45" s="54">
        <f>D45-E45</f>
        <v/>
      </c>
      <c r="G45" s="51">
        <f>IF(ABS(F45)&lt;0.01,"OK","DIVERGE")</f>
        <v/>
      </c>
      <c r="H45" s="52" t="n"/>
      <c r="I45" s="52" t="n"/>
    </row>
    <row r="46">
      <c r="A46" s="8" t="inlineStr">
        <is>
          <t>Tesouraria</t>
        </is>
      </c>
      <c r="B46" s="8" t="inlineStr">
        <is>
          <t>Base</t>
        </is>
      </c>
      <c r="C46" s="8" t="inlineStr">
        <is>
          <t>Necessidade máxima de tesouraria</t>
        </is>
      </c>
      <c r="D46" s="47">
        <f>Tesouraria!$C$28</f>
        <v/>
      </c>
      <c r="E46" s="50" t="n">
        <v>62330.9286</v>
      </c>
      <c r="F46" s="54">
        <f>D46-E46</f>
        <v/>
      </c>
      <c r="G46" s="51">
        <f>IF(ABS(F46)&lt;0.01,"OK","DIVERGE")</f>
        <v/>
      </c>
      <c r="H46" s="52" t="n"/>
      <c r="I46" s="52" t="n"/>
    </row>
    <row r="47">
      <c r="A47" s="8" t="inlineStr">
        <is>
          <t>Tesouraria</t>
        </is>
      </c>
      <c r="B47" s="8" t="inlineStr">
        <is>
          <t>Base</t>
        </is>
      </c>
      <c r="C47" s="8" t="inlineStr">
        <is>
          <t>Total de dinheiro necessário antes de abrir</t>
        </is>
      </c>
      <c r="D47" s="47">
        <f>Tesouraria!$C$36</f>
        <v/>
      </c>
      <c r="E47" s="50" t="n">
        <v>67305.9286</v>
      </c>
      <c r="F47" s="54">
        <f>D47-E47</f>
        <v/>
      </c>
      <c r="G47" s="51">
        <f>IF(ABS(F47)&lt;0.01,"OK","DIVERGE")</f>
        <v/>
      </c>
      <c r="H47" s="52" t="n"/>
      <c r="I47" s="52" t="n"/>
    </row>
    <row r="48"/>
    <row r="49">
      <c r="A49" s="22" t="inlineStr">
        <is>
          <t>Estado do bloco 2</t>
        </is>
      </c>
      <c r="D49" s="26">
        <f>IF(COUNTIF($G$36:$G$47,"DIVERGE")=0,"TODAS AS VERIFICAÇÕES OK","HÁ DIVERGÊNCIAS")</f>
        <v/>
      </c>
      <c r="E49" s="39" t="n"/>
      <c r="F49" s="39" t="n"/>
      <c r="G49" s="40" t="n"/>
    </row>
    <row r="50" ht="30" customHeight="1">
      <c r="A50" s="22" t="inlineStr">
        <is>
          <t>Cobertura da validação</t>
        </is>
      </c>
      <c r="D50" s="17" t="inlineStr">
        <is>
          <t>32 verificações sobre 18 folhas. Sem verificação independente permanecem apenas as folhas de apresentação (Comparativo e Conjuge), que só agregam valores já verificados nas folhas de origem.</t>
        </is>
      </c>
    </row>
  </sheetData>
  <sheetProtection selectLockedCells="0" selectUnlockedCells="0" sheet="1" objects="0" insertRows="1" insertHyperlinks="1" autoFilter="1" scenarios="0" formatColumns="1" deleteColumns="1" insertColumns="1" pivotTables="1" deleteRows="1" formatCells="0" formatRows="1" sort="1"/>
  <mergeCells count="6">
    <mergeCell ref="A2:I2"/>
    <mergeCell ref="A32:I32"/>
    <mergeCell ref="D30:G30"/>
    <mergeCell ref="D50:I50"/>
    <mergeCell ref="D49:G49"/>
    <mergeCell ref="A35:I3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5" customWidth="1" min="3" max="3"/>
    <col width="15" customWidth="1" min="4" max="4"/>
    <col width="15" customWidth="1" min="5" max="5"/>
    <col width="54" customWidth="1" min="6" max="6"/>
  </cols>
  <sheetData>
    <row r="1">
      <c r="A1" s="1" t="inlineStr">
        <is>
          <t>M1 — Requalificação laboral: passivo contingente</t>
        </is>
      </c>
    </row>
    <row r="2" ht="52" customHeight="1">
      <c r="A2" s="20" t="inlineStr">
        <is>
          <t>A ata identificou o risco e ninguém lhe pôs um número. Este é o número. Se a relação com os fisioterapeutas for requalificada como contrato de trabalho, a clínica passa a dever contribuições retroativas sobre tudo o que lhes pagou, com juros e coima. É o único risco deste projeto capaz de destruir o plano inteiro de uma vez.</t>
        </is>
      </c>
    </row>
    <row r="3"/>
    <row r="4" ht="28" customHeight="1">
      <c r="A4" s="6" t="inlineStr">
        <is>
          <t>Rubrica</t>
        </is>
      </c>
      <c r="B4" s="6" t="inlineStr">
        <is>
          <t>Ref.</t>
        </is>
      </c>
      <c r="C4" s="6" t="inlineStr">
        <is>
          <t>Baixo</t>
        </is>
      </c>
      <c r="D4" s="6" t="inlineStr">
        <is>
          <t>Base</t>
        </is>
      </c>
      <c r="E4" s="6" t="inlineStr">
        <is>
          <t>Alto</t>
        </is>
      </c>
      <c r="F4" s="6" t="inlineStr">
        <is>
          <t>Nota / norma</t>
        </is>
      </c>
    </row>
    <row r="5">
      <c r="A5" s="2" t="inlineStr">
        <is>
          <t>Exposição</t>
        </is>
      </c>
      <c r="B5" s="7" t="n"/>
      <c r="C5" s="7" t="n"/>
      <c r="D5" s="7" t="n"/>
      <c r="E5" s="7" t="n"/>
      <c r="F5" s="7" t="n"/>
    </row>
    <row r="6">
      <c r="A6" s="8" t="inlineStr">
        <is>
          <t>Honorários anuais pagos aos colaboradores</t>
        </is>
      </c>
      <c r="B6" s="9" t="inlineStr">
        <is>
          <t>HONOR</t>
        </is>
      </c>
      <c r="C6" s="35">
        <f>Inputs!$C$44</f>
        <v/>
      </c>
      <c r="D6" s="35">
        <f>Inputs!$D$44</f>
        <v/>
      </c>
      <c r="E6" s="35">
        <f>Inputs!$E$44</f>
        <v/>
      </c>
      <c r="F6" s="17" t="inlineStr">
        <is>
          <t>Só existe exposição no modelo de prestação de serviços. Na cedência de sala o fluxo é o inverso e o risco é outro — o de a cedência ser requalificada como prestação de serviços.</t>
        </is>
      </c>
    </row>
    <row r="7">
      <c r="A7" s="8" t="inlineStr">
        <is>
          <t>Anos de exposição retroativa</t>
        </is>
      </c>
      <c r="B7" s="9" t="inlineStr">
        <is>
          <t>ANOS</t>
        </is>
      </c>
      <c r="C7" s="53">
        <f>Parametros!$C$16</f>
        <v/>
      </c>
      <c r="D7" s="53">
        <f>Parametros!$C$16</f>
        <v/>
      </c>
      <c r="E7" s="53">
        <f>Parametros!$C$16</f>
        <v/>
      </c>
      <c r="F7" s="17" t="inlineStr">
        <is>
          <t>Prazo de prescrição das contribuições. A inspeção não olha só para o ano corrente.</t>
        </is>
      </c>
    </row>
    <row r="8">
      <c r="A8" s="22" t="inlineStr">
        <is>
          <t>Base de incidência retroativa</t>
        </is>
      </c>
      <c r="B8" s="9" t="inlineStr">
        <is>
          <t>BASE</t>
        </is>
      </c>
      <c r="C8" s="27">
        <f>$C$6*$C$7</f>
        <v/>
      </c>
      <c r="D8" s="27">
        <f>$D$6*$D$7</f>
        <v/>
      </c>
      <c r="E8" s="27">
        <f>$E$6*$E$7</f>
        <v/>
      </c>
      <c r="F8" s="17" t="inlineStr">
        <is>
          <t>Assume honorários constantes ao longo do período. Se crescerem, a exposição cresce com eles.</t>
        </is>
      </c>
    </row>
    <row r="9">
      <c r="A9" s="2" t="inlineStr">
        <is>
          <t>Contribuições devidas em caso de requalificação</t>
        </is>
      </c>
      <c r="B9" s="7" t="n"/>
      <c r="C9" s="7" t="n"/>
      <c r="D9" s="7" t="n"/>
      <c r="E9" s="7" t="n"/>
      <c r="F9" s="7" t="n"/>
    </row>
    <row r="10">
      <c r="A10" s="8" t="inlineStr">
        <is>
          <t>Contribuições a cargo da entidade</t>
        </is>
      </c>
      <c r="B10" s="9" t="inlineStr">
        <is>
          <t>TSU_E</t>
        </is>
      </c>
      <c r="C10" s="28">
        <f>$C$8*Parametros!$C$14</f>
        <v/>
      </c>
      <c r="D10" s="28">
        <f>$D$8*Parametros!$C$14</f>
        <v/>
      </c>
      <c r="E10" s="28">
        <f>$E$8*Parametros!$C$14</f>
        <v/>
      </c>
      <c r="F10" s="17" t="inlineStr">
        <is>
          <t>Art. 53.º Cód. Contributivo. É a parcela que a clínica nunca pagou e passa a dever.</t>
        </is>
      </c>
    </row>
    <row r="11">
      <c r="A11" s="8" t="inlineStr">
        <is>
          <t>Contribuições a cargo do trabalhador, não retidas</t>
        </is>
      </c>
      <c r="B11" s="9" t="inlineStr">
        <is>
          <t>TSU_T</t>
        </is>
      </c>
      <c r="C11" s="28">
        <f>$C$8*Parametros!$C$15</f>
        <v/>
      </c>
      <c r="D11" s="28">
        <f>$D$8*Parametros!$C$15</f>
        <v/>
      </c>
      <c r="E11" s="28">
        <f>$E$8*Parametros!$C$15</f>
        <v/>
      </c>
      <c r="F11" s="17" t="inlineStr">
        <is>
          <t>A entidade é responsável pela entrega. Na prática, é dívida da clínica.</t>
        </is>
      </c>
    </row>
    <row r="12">
      <c r="A12" s="8" t="inlineStr">
        <is>
          <t>Juros de mora estimados</t>
        </is>
      </c>
      <c r="B12" s="9" t="inlineStr">
        <is>
          <t>JUROS</t>
        </is>
      </c>
      <c r="C12" s="28">
        <f>($C$10+$C$11)*Parametros!$C$17*$C$7/2</f>
        <v/>
      </c>
      <c r="D12" s="28">
        <f>($D$10+$D$11)*Parametros!$C$17*$D$7/2</f>
        <v/>
      </c>
      <c r="E12" s="28">
        <f>($E$10+$E$11)*Parametros!$C$17*$E$7/2</f>
        <v/>
      </c>
      <c r="F12" s="17" t="inlineStr">
        <is>
          <t>Aproximação: metade do período médio de mora sobre o total em dívida. Ordem de grandeza, não liquidação.</t>
        </is>
      </c>
    </row>
    <row r="13">
      <c r="A13" s="8" t="inlineStr">
        <is>
          <t>Coima estimada</t>
        </is>
      </c>
      <c r="B13" s="9" t="inlineStr">
        <is>
          <t>COIMA</t>
        </is>
      </c>
      <c r="C13" s="28">
        <f>$C$10*Parametros!$C$18</f>
        <v/>
      </c>
      <c r="D13" s="28">
        <f>$D$10*Parametros!$C$18</f>
        <v/>
      </c>
      <c r="E13" s="28">
        <f>$E$10*Parametros!$C$18</f>
        <v/>
      </c>
      <c r="F13" s="17" t="inlineStr">
        <is>
          <t>ESTIMATIVA GROSSEIRA, a 50% das contribuições da entidade. A moldura das contraordenações por falta de comunicação de admissão e de pagamento de contribuições tem de ser confirmada pela Fiscalidade ou por advogado. Ver R1-38.</t>
        </is>
      </c>
    </row>
    <row r="14">
      <c r="A14" s="22" t="inlineStr">
        <is>
          <t>PASSIVO CONTINGENTE TOTAL</t>
        </is>
      </c>
      <c r="B14" s="9" t="inlineStr">
        <is>
          <t>PASSIVO</t>
        </is>
      </c>
      <c r="C14" s="27">
        <f>$C$10+$C$11+$C$12+$C$13</f>
        <v/>
      </c>
      <c r="D14" s="27">
        <f>$D$10+$D$11+$D$12+$D$13</f>
        <v/>
      </c>
      <c r="E14" s="27">
        <f>$E$10+$E$11+$E$12+$E$13</f>
        <v/>
      </c>
      <c r="F14" s="17" t="inlineStr"/>
    </row>
    <row r="15">
      <c r="A15" s="2" t="inlineStr">
        <is>
          <t>Dimensão do risco</t>
        </is>
      </c>
      <c r="B15" s="7" t="n"/>
      <c r="C15" s="7" t="n"/>
      <c r="D15" s="7" t="n"/>
      <c r="E15" s="7" t="n"/>
      <c r="F15" s="7" t="n"/>
    </row>
    <row r="16">
      <c r="A16" s="8" t="inlineStr">
        <is>
          <t>Resultado líquido anual da via de referência (via 2)</t>
        </is>
      </c>
      <c r="B16" s="9" t="inlineStr">
        <is>
          <t>LIQ_REF</t>
        </is>
      </c>
      <c r="C16" s="35">
        <f>V2_ENI_ContOrg!$C$33</f>
        <v/>
      </c>
      <c r="D16" s="35">
        <f>V2_ENI_ContOrg!$D$33</f>
        <v/>
      </c>
      <c r="E16" s="35">
        <f>V2_ENI_ContOrg!$E$33</f>
        <v/>
      </c>
      <c r="F16" s="17" t="inlineStr"/>
    </row>
    <row r="17">
      <c r="A17" s="22" t="inlineStr">
        <is>
          <t>ANOS DE RESULTADO LÍQUIDO QUE O PASSIVO CONSOME</t>
        </is>
      </c>
      <c r="B17" s="9" t="inlineStr">
        <is>
          <t>ANOS_RES</t>
        </is>
      </c>
      <c r="C17" s="49">
        <f>IF($C$16&lt;=0,"n/a",$C$14/$C$16)</f>
        <v/>
      </c>
      <c r="D17" s="49">
        <f>IF($D$16&lt;=0,"n/a",$D$14/$D$16)</f>
        <v/>
      </c>
      <c r="E17" s="49">
        <f>IF($E$16&lt;=0,"n/a",$E$14/$E$16)</f>
        <v/>
      </c>
      <c r="F17" s="17" t="inlineStr">
        <is>
          <t>É esta a frase a dizer à cliente, e não a percentagem: quantos anos de trabalho pago desaparecem se isto correr mal.</t>
        </is>
      </c>
    </row>
    <row r="18">
      <c r="A18" s="8" t="inlineStr">
        <is>
          <t>Passivo em % do investimento inicial</t>
        </is>
      </c>
      <c r="B18" s="9" t="inlineStr">
        <is>
          <t>VS_INV</t>
        </is>
      </c>
      <c r="C18" s="37">
        <f>IF((Inputs!$C$27+Inputs!$C$28+Inputs!$C$29+Inputs!$C$30)&lt;=0,0,$C$14/(Inputs!$C$27+Inputs!$C$28+Inputs!$C$29+Inputs!$C$30))</f>
        <v/>
      </c>
      <c r="D18" s="37">
        <f>IF((Inputs!$D$27+Inputs!$D$28+Inputs!$D$29+Inputs!$D$30)&lt;=0,0,$D$14/(Inputs!$D$27+Inputs!$D$28+Inputs!$D$29+Inputs!$D$30))</f>
        <v/>
      </c>
      <c r="E18" s="37">
        <f>IF((Inputs!$E$27+Inputs!$E$28+Inputs!$E$29+Inputs!$E$30)&lt;=0,0,$E$14/(Inputs!$E$27+Inputs!$E$28+Inputs!$E$29+Inputs!$E$30))</f>
        <v/>
      </c>
      <c r="F18" s="17" t="inlineStr"/>
    </row>
    <row r="19"/>
    <row r="20">
      <c r="A20" s="2" t="inlineStr">
        <is>
          <t>Indícios de laboralidade — art. 12.º n.º 1 do Código do Trabalho</t>
        </is>
      </c>
      <c r="B20" s="7" t="n"/>
      <c r="C20" s="7" t="n"/>
      <c r="D20" s="7" t="n"/>
      <c r="E20" s="7" t="n"/>
      <c r="F20" s="7" t="n"/>
    </row>
    <row r="21">
      <c r="A21" s="20" t="inlineStr">
        <is>
          <t>A presunção de contrato de trabalho opera quando se verifiquem ALGUMAS destas características. Não é preciso que se verifiquem todas. Marcar 1 onde se aplica.</t>
        </is>
      </c>
    </row>
    <row r="22" ht="26" customHeight="1">
      <c r="A22" s="8" t="inlineStr">
        <is>
          <t>a) O local de trabalho pertence ao beneficiário da atividade ou é por ele determinado</t>
        </is>
      </c>
      <c r="C22" s="15" t="n">
        <v>1</v>
      </c>
      <c r="F22" s="17" t="inlineStr">
        <is>
          <t>ESTRUTURALMENTE PRESENTE numa clínica. O fisioterapeuta trabalha no espaço da Dra. Júlia. Não é evitável.</t>
        </is>
      </c>
    </row>
    <row r="23" ht="26" customHeight="1">
      <c r="A23" s="8" t="inlineStr">
        <is>
          <t>b) Os equipamentos e instrumentos de trabalho pertencem ao beneficiário da atividade</t>
        </is>
      </c>
      <c r="C23" s="15" t="n">
        <v>1</v>
      </c>
      <c r="F23" s="17" t="inlineStr">
        <is>
          <t>ESTRUTURALMENTE PRESENTE se o equipamento clínico for da clínica. Evitável apenas se o profissional usar material próprio, o que raramente acontece.</t>
        </is>
      </c>
    </row>
    <row r="24" ht="26" customHeight="1">
      <c r="A24" s="8" t="inlineStr">
        <is>
          <t>c) O prestador observa horas de início e de termo determinadas pelo beneficiário</t>
        </is>
      </c>
      <c r="C24" s="15" t="n">
        <v>0</v>
      </c>
      <c r="F24" s="17" t="inlineStr">
        <is>
          <t>EVITÁVEL, e é a decisão mais importante. Se a marcação de consultas for feita pela clínica com horário imposto, este indício verifica-se.</t>
        </is>
      </c>
    </row>
    <row r="25" ht="26" customHeight="1">
      <c r="A25" s="8" t="inlineStr">
        <is>
          <t>d) É paga, com certa periodicidade, uma quantia certa ao prestador</t>
        </is>
      </c>
      <c r="C25" s="15" t="n">
        <v>0</v>
      </c>
      <c r="F25" s="17" t="inlineStr">
        <is>
          <t>EVITÁVEL. Honorários variáveis em função das sessões efetivamente realizadas afastam-no; um valor fixo mensal verifica-o.</t>
        </is>
      </c>
    </row>
    <row r="26" ht="26" customHeight="1">
      <c r="A26" s="8" t="inlineStr">
        <is>
          <t>e) O prestador desempenha funções de direção ou chefia na estrutura da empresa</t>
        </is>
      </c>
      <c r="C26" s="15" t="n">
        <v>0</v>
      </c>
      <c r="F26" s="17" t="inlineStr">
        <is>
          <t>Improvável nesta fase.</t>
        </is>
      </c>
    </row>
    <row r="27"/>
    <row r="28">
      <c r="A28" s="22" t="inlineStr">
        <is>
          <t>N.º de indícios verificados (de 5)</t>
        </is>
      </c>
      <c r="C28" s="23">
        <f>SUM($C$22:$C$26)</f>
        <v/>
      </c>
    </row>
    <row r="29">
      <c r="A29" s="22" t="inlineStr">
        <is>
          <t>LEITURA</t>
        </is>
      </c>
      <c r="C29" s="59">
        <f>IF($C$28&gt;=3,"RISCO ELEVADO — presunção provável",IF($C$28=2,"RISCO ESTRUTURAL — os dois indícios inevitáveis já se verificam","RISCO CONTIDO"))</f>
        <v/>
      </c>
      <c r="D29" s="39" t="n"/>
      <c r="E29" s="40" t="n"/>
    </row>
    <row r="30"/>
    <row r="31" ht="92" customHeight="1">
      <c r="A31" s="20" t="inlineStr">
        <is>
          <t>O que este quadro mostra, e é o essencial: numa clínica, os indícios a) e b) verificam-se desde o primeiro dia e não são evitáveis — o profissional trabalha no espaço e com o equipamento da clínica. A margem de manobra está inteiramente em c) e d), ou seja, no horário e na forma de remuneração. É aí que a blindagem contratual e, sobretudo, a prática diária têm de trabalhar. Um contrato bem redigido que seja desmentido pelo funcionamento real não protege ninguém.
A presunção é ilidível, mas inverte o ónus da prova: passa a caber à clínica demonstrar que não há contrato de trabalho. A redação dos contratos e o parecer laboral estão fora do nosso âmbito; identificar e quantificar o risco, não.</t>
        </is>
      </c>
    </row>
  </sheetData>
  <sheetProtection selectLockedCells="0" selectUnlockedCells="0" sheet="1" objects="0" insertRows="1" insertHyperlinks="1" autoFilter="1" scenarios="0" formatColumns="1" deleteColumns="1" insertColumns="1" pivotTables="1" deleteRows="1" formatCells="0" formatRows="1" sort="1"/>
  <mergeCells count="4">
    <mergeCell ref="A31:F31"/>
    <mergeCell ref="A2:F2"/>
    <mergeCell ref="A21:F21"/>
    <mergeCell ref="C29:E29"/>
  </mergeCells>
  <dataValidations count="1">
    <dataValidation sqref="C22 C23 C24 C25 C26" showDropDown="0" showInputMessage="0" showErrorMessage="1" allowBlank="0" errorTitle="Valor não permitido" error="Só são admitidos 0 ou 1." type="list">
      <formula1>"0,1"</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 width="50" customWidth="1" min="16" max="16"/>
  </cols>
  <sheetData>
    <row r="1">
      <c r="A1" s="1" t="inlineStr">
        <is>
          <t>M1 — Tesouraria do ano 1 e necessidade de fundo de maneio</t>
        </is>
      </c>
    </row>
    <row r="2" ht="46" customHeight="1">
      <c r="A2" s="20" t="inlineStr">
        <is>
          <t>Um negócio pode ser rentável e mesmo assim ficar sem dinheiro. O investimento paga-se todo no início, a receita sobe devagar, e há pagamentos que chegam em bloco. Esta folha responde à única pergunta que importa antes de assinar seja o que for: quanto dinheiro é preciso ter na mão para chegar ao fim do primeiro ano.</t>
        </is>
      </c>
    </row>
    <row r="3"/>
    <row r="4">
      <c r="A4" s="2" t="inlineStr">
        <is>
          <t>Fundos necessários no arranque</t>
        </is>
      </c>
      <c r="B4" s="7" t="n"/>
      <c r="C4" s="7" t="n"/>
      <c r="D4" s="7" t="n"/>
    </row>
    <row r="5">
      <c r="A5" s="8" t="inlineStr">
        <is>
          <t>Investimento em obras, equipamento e software</t>
        </is>
      </c>
      <c r="B5" s="9" t="inlineStr">
        <is>
          <t>INV</t>
        </is>
      </c>
      <c r="C5" s="35">
        <f>Inputs!$D$27+Inputs!$D$28+Inputs!$D$29+Inputs!$D$30</f>
        <v/>
      </c>
      <c r="D5" s="17" t="inlineStr"/>
    </row>
    <row r="6">
      <c r="A6" s="8" t="inlineStr">
        <is>
          <t>IVA irrecuperável sobre o investimento</t>
        </is>
      </c>
      <c r="B6" s="9" t="inlineStr">
        <is>
          <t>IVA_IRR</t>
        </is>
      </c>
      <c r="C6" s="35">
        <f>IVA!$D$10</f>
        <v/>
      </c>
      <c r="D6" s="17" t="inlineStr">
        <is>
          <t>Sai da conta e não volta: a fisioterapia é isenta sem direito à dedução.</t>
        </is>
      </c>
    </row>
    <row r="7">
      <c r="A7" s="8" t="inlineStr">
        <is>
          <t>Caução do arrendamento (meses de renda)</t>
        </is>
      </c>
      <c r="B7" s="9" t="inlineStr">
        <is>
          <t>MESES_CAUC</t>
        </is>
      </c>
      <c r="C7" s="15" t="n">
        <v>3</v>
      </c>
      <c r="D7" s="17" t="inlineStr">
        <is>
          <t>Rubrica que quase sempre se esquece no plano de investimento. Confirmar com a proposta de arrendamento.</t>
        </is>
      </c>
    </row>
    <row r="8">
      <c r="A8" s="8" t="inlineStr">
        <is>
          <t>Caução do arrendamento</t>
        </is>
      </c>
      <c r="B8" s="9" t="inlineStr">
        <is>
          <t>CAUCAO</t>
        </is>
      </c>
      <c r="C8" s="28">
        <f>$C$7*Inputs!$D$19/12</f>
        <v/>
      </c>
      <c r="D8" s="17" t="inlineStr"/>
    </row>
    <row r="9">
      <c r="A9" s="22" t="inlineStr">
        <is>
          <t>TOTAL A DESEMBOLSAR NO ARRANQUE</t>
        </is>
      </c>
      <c r="B9" s="9" t="inlineStr">
        <is>
          <t>ARRANQUE</t>
        </is>
      </c>
      <c r="C9" s="27">
        <f>$C$5+$C$6+$C$8</f>
        <v/>
      </c>
      <c r="D9" s="17" t="inlineStr"/>
    </row>
    <row r="10"/>
    <row r="11">
      <c r="A11" s="2" t="inlineStr">
        <is>
          <t>Ano 1, mês a mês</t>
        </is>
      </c>
      <c r="B11" s="7" t="n"/>
      <c r="C11" s="7" t="n"/>
      <c r="D11" s="7" t="n"/>
      <c r="E11" s="7" t="n"/>
      <c r="F11" s="7" t="n"/>
      <c r="G11" s="7" t="n"/>
      <c r="H11" s="7" t="n"/>
      <c r="I11" s="7" t="n"/>
      <c r="J11" s="7" t="n"/>
      <c r="K11" s="7" t="n"/>
      <c r="L11" s="7" t="n"/>
      <c r="M11" s="7" t="n"/>
      <c r="N11" s="7" t="n"/>
      <c r="O11" s="7" t="n"/>
      <c r="P11" s="7" t="n"/>
    </row>
    <row r="12" ht="28" customHeight="1">
      <c r="A12" s="6" t="inlineStr">
        <is>
          <t>Rubrica</t>
        </is>
      </c>
      <c r="B12" s="6" t="inlineStr">
        <is>
          <t>Ref.</t>
        </is>
      </c>
      <c r="C12" s="6" t="inlineStr">
        <is>
          <t>Mês 1</t>
        </is>
      </c>
      <c r="D12" s="6" t="inlineStr">
        <is>
          <t>Mês 2</t>
        </is>
      </c>
      <c r="E12" s="6" t="inlineStr">
        <is>
          <t>Mês 3</t>
        </is>
      </c>
      <c r="F12" s="6" t="inlineStr">
        <is>
          <t>Mês 4</t>
        </is>
      </c>
      <c r="G12" s="6" t="inlineStr">
        <is>
          <t>Mês 5</t>
        </is>
      </c>
      <c r="H12" s="6" t="inlineStr">
        <is>
          <t>Mês 6</t>
        </is>
      </c>
      <c r="I12" s="6" t="inlineStr">
        <is>
          <t>Mês 7</t>
        </is>
      </c>
      <c r="J12" s="6" t="inlineStr">
        <is>
          <t>Mês 8</t>
        </is>
      </c>
      <c r="K12" s="6" t="inlineStr">
        <is>
          <t>Mês 9</t>
        </is>
      </c>
      <c r="L12" s="6" t="inlineStr">
        <is>
          <t>Mês 10</t>
        </is>
      </c>
      <c r="M12" s="6" t="inlineStr">
        <is>
          <t>Mês 11</t>
        </is>
      </c>
      <c r="N12" s="6" t="inlineStr">
        <is>
          <t>Mês 12</t>
        </is>
      </c>
      <c r="O12" s="6" t="inlineStr">
        <is>
          <t>Ano 1</t>
        </is>
      </c>
      <c r="P12" s="6" t="inlineStr">
        <is>
          <t>Nota</t>
        </is>
      </c>
    </row>
    <row r="13">
      <c r="A13" s="8" t="inlineStr">
        <is>
          <t>Taxa de ocupação dos gabinetes</t>
        </is>
      </c>
      <c r="B13" s="9" t="inlineStr">
        <is>
          <t>OCUP</t>
        </is>
      </c>
      <c r="C13" s="13" t="n">
        <v>0.15</v>
      </c>
      <c r="D13" s="13" t="n">
        <v>0.2</v>
      </c>
      <c r="E13" s="13" t="n">
        <v>0.25</v>
      </c>
      <c r="F13" s="13" t="n">
        <v>0.3</v>
      </c>
      <c r="G13" s="13" t="n">
        <v>0.33</v>
      </c>
      <c r="H13" s="13" t="n">
        <v>0.36</v>
      </c>
      <c r="I13" s="13" t="n">
        <v>0.39</v>
      </c>
      <c r="J13" s="13" t="n">
        <v>0.41</v>
      </c>
      <c r="K13" s="13" t="n">
        <v>0.43</v>
      </c>
      <c r="L13" s="13" t="n">
        <v>0.44</v>
      </c>
      <c r="M13" s="13" t="n">
        <v>0.45</v>
      </c>
      <c r="N13" s="13" t="n">
        <v>0.45</v>
      </c>
      <c r="P13" s="17" t="inlineStr">
        <is>
          <t>RAMPA DE ARRANQUE. É a fila de inputs mais importante desta folha e a que ninguém quer preencher com honestidade. Uma clínica nova não abre à ocupação de cruzeiro.</t>
        </is>
      </c>
    </row>
    <row r="14">
      <c r="A14" s="8" t="inlineStr">
        <is>
          <t>Consultas do mês</t>
        </is>
      </c>
      <c r="B14" s="9" t="inlineStr">
        <is>
          <t>CONS</t>
        </is>
      </c>
      <c r="C14" s="24">
        <f>(Operacao!$D$21/12)*C$13</f>
        <v/>
      </c>
      <c r="D14" s="24">
        <f>(Operacao!$D$21/12)*D$13</f>
        <v/>
      </c>
      <c r="E14" s="24">
        <f>(Operacao!$D$21/12)*E$13</f>
        <v/>
      </c>
      <c r="F14" s="24">
        <f>(Operacao!$D$21/12)*F$13</f>
        <v/>
      </c>
      <c r="G14" s="24">
        <f>(Operacao!$D$21/12)*G$13</f>
        <v/>
      </c>
      <c r="H14" s="24">
        <f>(Operacao!$D$21/12)*H$13</f>
        <v/>
      </c>
      <c r="I14" s="24">
        <f>(Operacao!$D$21/12)*I$13</f>
        <v/>
      </c>
      <c r="J14" s="24">
        <f>(Operacao!$D$21/12)*J$13</f>
        <v/>
      </c>
      <c r="K14" s="24">
        <f>(Operacao!$D$21/12)*K$13</f>
        <v/>
      </c>
      <c r="L14" s="24">
        <f>(Operacao!$D$21/12)*L$13</f>
        <v/>
      </c>
      <c r="M14" s="24">
        <f>(Operacao!$D$21/12)*M$13</f>
        <v/>
      </c>
      <c r="N14" s="24">
        <f>(Operacao!$D$21/12)*N$13</f>
        <v/>
      </c>
      <c r="O14" s="60">
        <f>SUM(C14:N14)</f>
        <v/>
      </c>
      <c r="P14" s="17" t="inlineStr"/>
    </row>
    <row r="15">
      <c r="A15" s="22" t="inlineStr">
        <is>
          <t>Faturação do mês</t>
        </is>
      </c>
      <c r="B15" s="9" t="inlineStr">
        <is>
          <t>FAT</t>
        </is>
      </c>
      <c r="C15" s="27">
        <f>C$14*BreakEven!$D$14</f>
        <v/>
      </c>
      <c r="D15" s="27">
        <f>D$14*BreakEven!$D$14</f>
        <v/>
      </c>
      <c r="E15" s="27">
        <f>E$14*BreakEven!$D$14</f>
        <v/>
      </c>
      <c r="F15" s="27">
        <f>F$14*BreakEven!$D$14</f>
        <v/>
      </c>
      <c r="G15" s="27">
        <f>G$14*BreakEven!$D$14</f>
        <v/>
      </c>
      <c r="H15" s="27">
        <f>H$14*BreakEven!$D$14</f>
        <v/>
      </c>
      <c r="I15" s="27">
        <f>I$14*BreakEven!$D$14</f>
        <v/>
      </c>
      <c r="J15" s="27">
        <f>J$14*BreakEven!$D$14</f>
        <v/>
      </c>
      <c r="K15" s="27">
        <f>K$14*BreakEven!$D$14</f>
        <v/>
      </c>
      <c r="L15" s="27">
        <f>L$14*BreakEven!$D$14</f>
        <v/>
      </c>
      <c r="M15" s="27">
        <f>M$14*BreakEven!$D$14</f>
        <v/>
      </c>
      <c r="N15" s="27">
        <f>N$14*BreakEven!$D$14</f>
        <v/>
      </c>
      <c r="O15" s="45">
        <f>SUM(C15:N15)</f>
        <v/>
      </c>
      <c r="P15" s="17" t="inlineStr"/>
    </row>
    <row r="16">
      <c r="A16" s="8" t="inlineStr">
        <is>
          <t>% recebida no próprio mês</t>
        </is>
      </c>
      <c r="B16" s="9" t="inlineStr">
        <is>
          <t>PCT_PRONTO</t>
        </is>
      </c>
      <c r="C16" s="13" t="n">
        <v>0.85</v>
      </c>
      <c r="D16" s="13" t="n">
        <v>0.85</v>
      </c>
      <c r="E16" s="13" t="n">
        <v>0.85</v>
      </c>
      <c r="F16" s="13" t="n">
        <v>0.85</v>
      </c>
      <c r="G16" s="13" t="n">
        <v>0.85</v>
      </c>
      <c r="H16" s="13" t="n">
        <v>0.85</v>
      </c>
      <c r="I16" s="13" t="n">
        <v>0.85</v>
      </c>
      <c r="J16" s="13" t="n">
        <v>0.85</v>
      </c>
      <c r="K16" s="13" t="n">
        <v>0.85</v>
      </c>
      <c r="L16" s="13" t="n">
        <v>0.85</v>
      </c>
      <c r="M16" s="13" t="n">
        <v>0.85</v>
      </c>
      <c r="N16" s="13" t="n">
        <v>0.85</v>
      </c>
      <c r="P16" s="17" t="inlineStr">
        <is>
          <t>Consultas particulares pagam-se na hora; subsistemas e seguros pagam a 30 dias ou mais.</t>
        </is>
      </c>
    </row>
    <row r="17">
      <c r="A17" s="22" t="inlineStr">
        <is>
          <t>Recebimentos</t>
        </is>
      </c>
      <c r="B17" s="9" t="inlineStr">
        <is>
          <t>REC</t>
        </is>
      </c>
      <c r="C17" s="27">
        <f>C$15*C$16</f>
        <v/>
      </c>
      <c r="D17" s="27">
        <f>D$15*D$16+C$15*(1-C$16)</f>
        <v/>
      </c>
      <c r="E17" s="27">
        <f>E$15*E$16+D$15*(1-D$16)</f>
        <v/>
      </c>
      <c r="F17" s="27">
        <f>F$15*F$16+E$15*(1-E$16)</f>
        <v/>
      </c>
      <c r="G17" s="27">
        <f>G$15*G$16+F$15*(1-F$16)</f>
        <v/>
      </c>
      <c r="H17" s="27">
        <f>H$15*H$16+G$15*(1-G$16)</f>
        <v/>
      </c>
      <c r="I17" s="27">
        <f>I$15*I$16+H$15*(1-H$16)</f>
        <v/>
      </c>
      <c r="J17" s="27">
        <f>J$15*J$16+I$15*(1-I$16)</f>
        <v/>
      </c>
      <c r="K17" s="27">
        <f>K$15*K$16+J$15*(1-J$16)</f>
        <v/>
      </c>
      <c r="L17" s="27">
        <f>L$15*L$16+K$15*(1-K$16)</f>
        <v/>
      </c>
      <c r="M17" s="27">
        <f>M$15*M$16+L$15*(1-L$16)</f>
        <v/>
      </c>
      <c r="N17" s="27">
        <f>N$15*N$16+M$15*(1-M$16)</f>
        <v/>
      </c>
      <c r="O17" s="45">
        <f>SUM(C17:N17)</f>
        <v/>
      </c>
      <c r="P17" s="17" t="inlineStr">
        <is>
          <t>O desfasamento entre faturar e receber é dinheiro que falta em caixa.</t>
        </is>
      </c>
    </row>
    <row r="18">
      <c r="A18" s="8" t="inlineStr">
        <is>
          <t>Custos variáveis (consumíveis e colaboradores)</t>
        </is>
      </c>
      <c r="B18" s="9" t="inlineStr">
        <is>
          <t>CV</t>
        </is>
      </c>
      <c r="C18" s="28">
        <f>C$15*(1-BreakEven!$D$9)</f>
        <v/>
      </c>
      <c r="D18" s="28">
        <f>D$15*(1-BreakEven!$D$9)</f>
        <v/>
      </c>
      <c r="E18" s="28">
        <f>E$15*(1-BreakEven!$D$9)</f>
        <v/>
      </c>
      <c r="F18" s="28">
        <f>F$15*(1-BreakEven!$D$9)</f>
        <v/>
      </c>
      <c r="G18" s="28">
        <f>G$15*(1-BreakEven!$D$9)</f>
        <v/>
      </c>
      <c r="H18" s="28">
        <f>H$15*(1-BreakEven!$D$9)</f>
        <v/>
      </c>
      <c r="I18" s="28">
        <f>I$15*(1-BreakEven!$D$9)</f>
        <v/>
      </c>
      <c r="J18" s="28">
        <f>J$15*(1-BreakEven!$D$9)</f>
        <v/>
      </c>
      <c r="K18" s="28">
        <f>K$15*(1-BreakEven!$D$9)</f>
        <v/>
      </c>
      <c r="L18" s="28">
        <f>L$15*(1-BreakEven!$D$9)</f>
        <v/>
      </c>
      <c r="M18" s="28">
        <f>M$15*(1-BreakEven!$D$9)</f>
        <v/>
      </c>
      <c r="N18" s="28">
        <f>N$15*(1-BreakEven!$D$9)</f>
        <v/>
      </c>
      <c r="O18" s="45">
        <f>SUM(C18:N18)</f>
        <v/>
      </c>
      <c r="P18" s="17" t="inlineStr"/>
    </row>
    <row r="19">
      <c r="A19" s="8" t="inlineStr">
        <is>
          <t>Custos fixos</t>
        </is>
      </c>
      <c r="B19" s="9" t="inlineStr">
        <is>
          <t>CF</t>
        </is>
      </c>
      <c r="C19" s="35">
        <f>BreakEven!$D$10/12</f>
        <v/>
      </c>
      <c r="D19" s="35">
        <f>BreakEven!$D$10/12</f>
        <v/>
      </c>
      <c r="E19" s="35">
        <f>BreakEven!$D$10/12</f>
        <v/>
      </c>
      <c r="F19" s="35">
        <f>BreakEven!$D$10/12</f>
        <v/>
      </c>
      <c r="G19" s="35">
        <f>BreakEven!$D$10/12</f>
        <v/>
      </c>
      <c r="H19" s="35">
        <f>BreakEven!$D$10/12</f>
        <v/>
      </c>
      <c r="I19" s="35">
        <f>BreakEven!$D$10/12</f>
        <v/>
      </c>
      <c r="J19" s="35">
        <f>BreakEven!$D$10/12</f>
        <v/>
      </c>
      <c r="K19" s="35">
        <f>BreakEven!$D$10/12</f>
        <v/>
      </c>
      <c r="L19" s="35">
        <f>BreakEven!$D$10/12</f>
        <v/>
      </c>
      <c r="M19" s="35">
        <f>BreakEven!$D$10/12</f>
        <v/>
      </c>
      <c r="N19" s="35">
        <f>BreakEven!$D$10/12</f>
        <v/>
      </c>
      <c r="O19" s="45">
        <f>SUM(C19:N19)</f>
        <v/>
      </c>
      <c r="P19" s="17" t="inlineStr">
        <is>
          <t>Renda, condomínio, seguros, software e outros. Pagam-se haja ou não doentes.</t>
        </is>
      </c>
    </row>
    <row r="20">
      <c r="A20" s="8" t="inlineStr">
        <is>
          <t>Segurança Social</t>
        </is>
      </c>
      <c r="B20" s="9" t="inlineStr">
        <is>
          <t>SS</t>
        </is>
      </c>
      <c r="C20" s="35">
        <f>V2_ENI_ContOrg!$D$13/12</f>
        <v/>
      </c>
      <c r="D20" s="35">
        <f>V2_ENI_ContOrg!$D$13/12</f>
        <v/>
      </c>
      <c r="E20" s="35">
        <f>V2_ENI_ContOrg!$D$13/12</f>
        <v/>
      </c>
      <c r="F20" s="35">
        <f>V2_ENI_ContOrg!$D$13/12</f>
        <v/>
      </c>
      <c r="G20" s="35">
        <f>V2_ENI_ContOrg!$D$13/12</f>
        <v/>
      </c>
      <c r="H20" s="35">
        <f>V2_ENI_ContOrg!$D$13/12</f>
        <v/>
      </c>
      <c r="I20" s="35">
        <f>V2_ENI_ContOrg!$D$13/12</f>
        <v/>
      </c>
      <c r="J20" s="35">
        <f>V2_ENI_ContOrg!$D$13/12</f>
        <v/>
      </c>
      <c r="K20" s="35">
        <f>V2_ENI_ContOrg!$D$13/12</f>
        <v/>
      </c>
      <c r="L20" s="35">
        <f>V2_ENI_ContOrg!$D$13/12</f>
        <v/>
      </c>
      <c r="M20" s="35">
        <f>V2_ENI_ContOrg!$D$13/12</f>
        <v/>
      </c>
      <c r="N20" s="35">
        <f>V2_ENI_ContOrg!$D$13/12</f>
        <v/>
      </c>
      <c r="O20" s="45">
        <f>SUM(C20:N20)</f>
        <v/>
      </c>
      <c r="P20" s="17" t="inlineStr">
        <is>
          <t>Aproximação de cruzeiro. No primeiro ano a base é a declarada, não o lucro do próprio ano. Ver R1-40.</t>
        </is>
      </c>
    </row>
    <row r="21">
      <c r="A21" s="8" t="inlineStr">
        <is>
          <t>IRS — pagamentos por conta</t>
        </is>
      </c>
      <c r="B21" s="9" t="inlineStr">
        <is>
          <t>IRS_PC</t>
        </is>
      </c>
      <c r="C21" s="16" t="n">
        <v>0</v>
      </c>
      <c r="D21" s="16" t="n">
        <v>0</v>
      </c>
      <c r="E21" s="16" t="n">
        <v>0</v>
      </c>
      <c r="F21" s="16" t="n">
        <v>0</v>
      </c>
      <c r="G21" s="16" t="n">
        <v>0</v>
      </c>
      <c r="H21" s="16" t="n">
        <v>0</v>
      </c>
      <c r="I21" s="16" t="n">
        <v>0</v>
      </c>
      <c r="J21" s="16" t="n">
        <v>0</v>
      </c>
      <c r="K21" s="16" t="n">
        <v>0</v>
      </c>
      <c r="L21" s="16" t="n">
        <v>0</v>
      </c>
      <c r="M21" s="16" t="n">
        <v>0</v>
      </c>
      <c r="N21" s="16" t="n">
        <v>0</v>
      </c>
      <c r="O21" s="45">
        <f>SUM(C21:N21)</f>
        <v/>
      </c>
      <c r="P21" s="17" t="inlineStr">
        <is>
          <t>A PREENCHER, e é uma armadilha clássica: no ano 1 os pagamentos por conta são calculados sobre o rendimento do ano ANTERIOR, no regime antigo. Paga-se IRS do passado enquanto se está a investir no futuro. Vencem em julho, setembro e dezembro — meses 7, 9 e 12.</t>
        </is>
      </c>
    </row>
    <row r="22">
      <c r="A22" s="8" t="inlineStr">
        <is>
          <t>Investimento e caução</t>
        </is>
      </c>
      <c r="B22" s="9" t="inlineStr">
        <is>
          <t>INV_M</t>
        </is>
      </c>
      <c r="C22" s="28">
        <f>$C$9</f>
        <v/>
      </c>
      <c r="D22" s="28" t="n">
        <v>0</v>
      </c>
      <c r="E22" s="28" t="n">
        <v>0</v>
      </c>
      <c r="F22" s="28" t="n">
        <v>0</v>
      </c>
      <c r="G22" s="28" t="n">
        <v>0</v>
      </c>
      <c r="H22" s="28" t="n">
        <v>0</v>
      </c>
      <c r="I22" s="28" t="n">
        <v>0</v>
      </c>
      <c r="J22" s="28" t="n">
        <v>0</v>
      </c>
      <c r="K22" s="28" t="n">
        <v>0</v>
      </c>
      <c r="L22" s="28" t="n">
        <v>0</v>
      </c>
      <c r="M22" s="28" t="n">
        <v>0</v>
      </c>
      <c r="N22" s="28" t="n">
        <v>0</v>
      </c>
      <c r="O22" s="45">
        <f>SUM(C22:N22)</f>
        <v/>
      </c>
      <c r="P22" s="17" t="inlineStr">
        <is>
          <t>Todo no mês 1. Se a empreitada for faseada, repartir.</t>
        </is>
      </c>
    </row>
    <row r="23">
      <c r="A23" s="22" t="inlineStr">
        <is>
          <t>SALDO DO MÊS</t>
        </is>
      </c>
      <c r="B23" s="9" t="inlineStr">
        <is>
          <t>SALDO</t>
        </is>
      </c>
      <c r="C23" s="27">
        <f>C$17-C$18-C$19-C$20-C$21-C$22</f>
        <v/>
      </c>
      <c r="D23" s="27">
        <f>D$17-D$18-D$19-D$20-D$21-D$22</f>
        <v/>
      </c>
      <c r="E23" s="27">
        <f>E$17-E$18-E$19-E$20-E$21-E$22</f>
        <v/>
      </c>
      <c r="F23" s="27">
        <f>F$17-F$18-F$19-F$20-F$21-F$22</f>
        <v/>
      </c>
      <c r="G23" s="27">
        <f>G$17-G$18-G$19-G$20-G$21-G$22</f>
        <v/>
      </c>
      <c r="H23" s="27">
        <f>H$17-H$18-H$19-H$20-H$21-H$22</f>
        <v/>
      </c>
      <c r="I23" s="27">
        <f>I$17-I$18-I$19-I$20-I$21-I$22</f>
        <v/>
      </c>
      <c r="J23" s="27">
        <f>J$17-J$18-J$19-J$20-J$21-J$22</f>
        <v/>
      </c>
      <c r="K23" s="27">
        <f>K$17-K$18-K$19-K$20-K$21-K$22</f>
        <v/>
      </c>
      <c r="L23" s="27">
        <f>L$17-L$18-L$19-L$20-L$21-L$22</f>
        <v/>
      </c>
      <c r="M23" s="27">
        <f>M$17-M$18-M$19-M$20-M$21-M$22</f>
        <v/>
      </c>
      <c r="N23" s="27">
        <f>N$17-N$18-N$19-N$20-N$21-N$22</f>
        <v/>
      </c>
      <c r="O23" s="45">
        <f>SUM(C23:N23)</f>
        <v/>
      </c>
      <c r="P23" s="17" t="inlineStr"/>
    </row>
    <row r="24">
      <c r="A24" s="22" t="inlineStr">
        <is>
          <t>SALDO ACUMULADO</t>
        </is>
      </c>
      <c r="B24" s="9" t="inlineStr">
        <is>
          <t>ACUM</t>
        </is>
      </c>
      <c r="C24" s="27">
        <f>C$23</f>
        <v/>
      </c>
      <c r="D24" s="27">
        <f>C$24+D$23</f>
        <v/>
      </c>
      <c r="E24" s="27">
        <f>D$24+E$23</f>
        <v/>
      </c>
      <c r="F24" s="27">
        <f>E$24+F$23</f>
        <v/>
      </c>
      <c r="G24" s="27">
        <f>F$24+G$23</f>
        <v/>
      </c>
      <c r="H24" s="27">
        <f>G$24+H$23</f>
        <v/>
      </c>
      <c r="I24" s="27">
        <f>H$24+I$23</f>
        <v/>
      </c>
      <c r="J24" s="27">
        <f>I$24+J$23</f>
        <v/>
      </c>
      <c r="K24" s="27">
        <f>J$24+K$23</f>
        <v/>
      </c>
      <c r="L24" s="27">
        <f>K$24+L$23</f>
        <v/>
      </c>
      <c r="M24" s="27">
        <f>L$24+M$23</f>
        <v/>
      </c>
      <c r="N24" s="27">
        <f>M$24+N$23</f>
        <v/>
      </c>
      <c r="P24" s="17" t="inlineStr">
        <is>
          <t>É esta a linha que decide se o projeto sobrevive ao primeiro ano.</t>
        </is>
      </c>
    </row>
    <row r="25">
      <c r="A25" s="8" t="inlineStr">
        <is>
          <t>Marcador do ponto mais baixo</t>
        </is>
      </c>
      <c r="B25" s="9" t="inlineStr">
        <is>
          <t>MARC_MIN</t>
        </is>
      </c>
      <c r="C25" s="24">
        <f>IF(C$24=MIN($C$24:$N$24),1,0)</f>
        <v/>
      </c>
      <c r="D25" s="24">
        <f>IF(D$24=MIN($C$24:$N$24),2,0)</f>
        <v/>
      </c>
      <c r="E25" s="24">
        <f>IF(E$24=MIN($C$24:$N$24),3,0)</f>
        <v/>
      </c>
      <c r="F25" s="24">
        <f>IF(F$24=MIN($C$24:$N$24),4,0)</f>
        <v/>
      </c>
      <c r="G25" s="24">
        <f>IF(G$24=MIN($C$24:$N$24),5,0)</f>
        <v/>
      </c>
      <c r="H25" s="24">
        <f>IF(H$24=MIN($C$24:$N$24),6,0)</f>
        <v/>
      </c>
      <c r="I25" s="24">
        <f>IF(I$24=MIN($C$24:$N$24),7,0)</f>
        <v/>
      </c>
      <c r="J25" s="24">
        <f>IF(J$24=MIN($C$24:$N$24),8,0)</f>
        <v/>
      </c>
      <c r="K25" s="24">
        <f>IF(K$24=MIN($C$24:$N$24),9,0)</f>
        <v/>
      </c>
      <c r="L25" s="24">
        <f>IF(L$24=MIN($C$24:$N$24),10,0)</f>
        <v/>
      </c>
      <c r="M25" s="24">
        <f>IF(M$24=MIN($C$24:$N$24),11,0)</f>
        <v/>
      </c>
      <c r="N25" s="24">
        <f>IF(N$24=MIN($C$24:$N$24),12,0)</f>
        <v/>
      </c>
      <c r="P25" s="17" t="inlineStr"/>
    </row>
    <row r="26">
      <c r="A26" s="8" t="inlineStr">
        <is>
          <t>Marcador de recuperação</t>
        </is>
      </c>
      <c r="B26" s="9" t="inlineStr">
        <is>
          <t>MARC</t>
        </is>
      </c>
      <c r="C26" s="24" t="n">
        <v>0</v>
      </c>
      <c r="D26" s="24">
        <f>IF(AND(D$24&gt;=0,C$24&lt;0),2,0)</f>
        <v/>
      </c>
      <c r="E26" s="24">
        <f>IF(AND(E$24&gt;=0,D$24&lt;0),3,0)</f>
        <v/>
      </c>
      <c r="F26" s="24">
        <f>IF(AND(F$24&gt;=0,E$24&lt;0),4,0)</f>
        <v/>
      </c>
      <c r="G26" s="24">
        <f>IF(AND(G$24&gt;=0,F$24&lt;0),5,0)</f>
        <v/>
      </c>
      <c r="H26" s="24">
        <f>IF(AND(H$24&gt;=0,G$24&lt;0),6,0)</f>
        <v/>
      </c>
      <c r="I26" s="24">
        <f>IF(AND(I$24&gt;=0,H$24&lt;0),7,0)</f>
        <v/>
      </c>
      <c r="J26" s="24">
        <f>IF(AND(J$24&gt;=0,I$24&lt;0),8,0)</f>
        <v/>
      </c>
      <c r="K26" s="24">
        <f>IF(AND(K$24&gt;=0,J$24&lt;0),9,0)</f>
        <v/>
      </c>
      <c r="L26" s="24">
        <f>IF(AND(L$24&gt;=0,K$24&lt;0),10,0)</f>
        <v/>
      </c>
      <c r="M26" s="24">
        <f>IF(AND(M$24&gt;=0,L$24&lt;0),11,0)</f>
        <v/>
      </c>
      <c r="N26" s="24">
        <f>IF(AND(N$24&gt;=0,M$24&lt;0),12,0)</f>
        <v/>
      </c>
      <c r="P26" s="17" t="inlineStr"/>
    </row>
    <row r="27"/>
    <row r="28" ht="26" customHeight="1">
      <c r="A28" s="22" t="inlineStr">
        <is>
          <t>NECESSIDADE MÁXIMA DE TESOURARIA</t>
        </is>
      </c>
      <c r="C28" s="27">
        <f>-MIN($C$24:$N$24)</f>
        <v/>
      </c>
      <c r="E28" s="17" t="inlineStr">
        <is>
          <t>O ponto mais fundo do saldo acumulado. JÁ INCLUI o investimento e a caução, porque eles saem da mesma conta bancária — não somar outra vez.</t>
        </is>
      </c>
    </row>
    <row r="29" ht="26" customHeight="1">
      <c r="A29" s="8" t="inlineStr">
        <is>
          <t xml:space="preserve">   da qual, investimento e caução</t>
        </is>
      </c>
      <c r="C29" s="27">
        <f>$C$9</f>
        <v/>
      </c>
      <c r="E29" s="17" t="inlineStr">
        <is>
          <t>Desembolso de uma só vez, no arranque.</t>
        </is>
      </c>
    </row>
    <row r="30" ht="26" customHeight="1">
      <c r="A30" s="8" t="inlineStr">
        <is>
          <t xml:space="preserve">   da qual, cobertura do défice operacional</t>
        </is>
      </c>
      <c r="C30" s="27">
        <f>-MIN($C$24:$N$24)-$C$9</f>
        <v/>
      </c>
      <c r="E30" s="17" t="inlineStr">
        <is>
          <t>O que a operação consome enquanto a receita não chega para os custos. É a parte que quase ninguém orça, e é a que apanha quem abre pela primeira vez.</t>
        </is>
      </c>
    </row>
    <row r="31" ht="26" customHeight="1">
      <c r="A31" s="8" t="inlineStr">
        <is>
          <t>Mês em que o saldo acumulado atinge o ponto mais baixo</t>
        </is>
      </c>
      <c r="C31" s="23">
        <f>MAX($C$25:$N$25)</f>
        <v/>
      </c>
      <c r="E31" s="17" t="inlineStr"/>
    </row>
    <row r="32" ht="26" customHeight="1">
      <c r="A32" s="8" t="inlineStr">
        <is>
          <t>Mês em que o saldo acumulado volta a ser positivo</t>
        </is>
      </c>
      <c r="C32" s="23">
        <f>IF(MAX($C$26:$N$26)=0,"Não recupera dentro do ano 1",MAX($C$26:$N$26))</f>
        <v/>
      </c>
      <c r="E32" s="17" t="inlineStr">
        <is>
          <t>Se não recuperar dentro do ano 1, o fundo de maneio tem de cobrir também o ano 2.</t>
        </is>
      </c>
    </row>
    <row r="33" ht="26" customHeight="1">
      <c r="A33" s="8" t="inlineStr">
        <is>
          <t>Margem de segurança (meses de custos fixos)</t>
        </is>
      </c>
      <c r="C33" s="15" t="n">
        <v>3</v>
      </c>
      <c r="E33" s="17" t="inlineStr">
        <is>
          <t>A PREENCHER. Nenhuma projeção acerta. Três meses é uma convenção prudente para quem não tem outra fonte de rendimento.</t>
        </is>
      </c>
    </row>
    <row r="34"/>
    <row r="35">
      <c r="A35" s="8" t="inlineStr">
        <is>
          <t>Margem de segurança, em euros</t>
        </is>
      </c>
      <c r="C35" s="28">
        <f>$C$33*BreakEven!$D$10/12</f>
        <v/>
      </c>
    </row>
    <row r="36" ht="30" customHeight="1">
      <c r="A36" s="22" t="inlineStr">
        <is>
          <t>TOTAL DE DINHEIRO NECESSÁRIO ANTES DE ABRIR</t>
        </is>
      </c>
      <c r="C36" s="61">
        <f>$C$28+$C$35</f>
        <v/>
      </c>
      <c r="E36" s="17" t="inlineStr">
        <is>
          <t>Investimento, caução e fundo de maneio. É este o número a dizer à cliente antes de qualquer conversa sobre estrutura fiscal. Se ela não o tiver ou não o conseguir financiar, a discussão sobre ENI ou sociedade é prematura.</t>
        </is>
      </c>
    </row>
    <row r="37"/>
    <row r="38">
      <c r="A38" s="2" t="inlineStr">
        <is>
          <t>Visão a três anos</t>
        </is>
      </c>
      <c r="B38" s="7" t="n"/>
      <c r="C38" s="7" t="n"/>
      <c r="D38" s="7" t="n"/>
      <c r="E38" s="7" t="n"/>
      <c r="F38" s="7" t="n"/>
    </row>
    <row r="39" ht="28" customHeight="1">
      <c r="A39" s="6" t="inlineStr">
        <is>
          <t>Rubrica</t>
        </is>
      </c>
      <c r="B39" s="6" t="inlineStr">
        <is>
          <t>Ref.</t>
        </is>
      </c>
      <c r="C39" s="6" t="inlineStr">
        <is>
          <t>Ano 1</t>
        </is>
      </c>
      <c r="D39" s="6" t="inlineStr">
        <is>
          <t>Ano 2</t>
        </is>
      </c>
      <c r="E39" s="6" t="inlineStr">
        <is>
          <t>Ano 3</t>
        </is>
      </c>
      <c r="F39" s="6" t="inlineStr">
        <is>
          <t>Nota</t>
        </is>
      </c>
    </row>
    <row r="40">
      <c r="A40" s="8" t="inlineStr">
        <is>
          <t>Taxa de ocupação média do ano</t>
        </is>
      </c>
      <c r="B40" s="9" t="inlineStr">
        <is>
          <t>OCUP</t>
        </is>
      </c>
      <c r="C40" s="62">
        <f>AVERAGE($C$13:$N$13)</f>
        <v/>
      </c>
      <c r="D40" s="13" t="n">
        <v>0.52</v>
      </c>
      <c r="E40" s="13" t="n">
        <v>0.58</v>
      </c>
      <c r="F40" s="17" t="inlineStr">
        <is>
          <t>Ano 1 é a média da rampa. Anos 2 e 3 a preencher — e a justificar com o plano de captação de doentes, que não existe e é o pressuposto silencioso de tudo isto (R1-41).</t>
        </is>
      </c>
    </row>
    <row r="41">
      <c r="A41" s="22" t="inlineStr">
        <is>
          <t>Faturação</t>
        </is>
      </c>
      <c r="B41" s="9" t="inlineStr">
        <is>
          <t>FAT</t>
        </is>
      </c>
      <c r="C41" s="27">
        <f>Operacao!$D$21*$C$40*BreakEven!$D$14</f>
        <v/>
      </c>
      <c r="D41" s="27">
        <f>Operacao!$D$21*$D$40*BreakEven!$D$14</f>
        <v/>
      </c>
      <c r="E41" s="27">
        <f>Operacao!$D$21*$E$40*BreakEven!$D$14</f>
        <v/>
      </c>
      <c r="F41" s="17" t="inlineStr"/>
    </row>
    <row r="42">
      <c r="A42" s="8" t="inlineStr">
        <is>
          <t>Custos variáveis</t>
        </is>
      </c>
      <c r="B42" s="9" t="inlineStr">
        <is>
          <t>CV</t>
        </is>
      </c>
      <c r="C42" s="28">
        <f>$C$41*(1-BreakEven!$D$9)</f>
        <v/>
      </c>
      <c r="D42" s="28">
        <f>$D$41*(1-BreakEven!$D$9)</f>
        <v/>
      </c>
      <c r="E42" s="28">
        <f>$E$41*(1-BreakEven!$D$9)</f>
        <v/>
      </c>
      <c r="F42" s="17" t="inlineStr"/>
    </row>
    <row r="43">
      <c r="A43" s="8" t="inlineStr">
        <is>
          <t>Custos fixos</t>
        </is>
      </c>
      <c r="B43" s="9" t="inlineStr">
        <is>
          <t>CF</t>
        </is>
      </c>
      <c r="C43" s="35">
        <f>BreakEven!$D$10</f>
        <v/>
      </c>
      <c r="D43" s="35">
        <f>BreakEven!$D$10</f>
        <v/>
      </c>
      <c r="E43" s="35">
        <f>BreakEven!$D$10</f>
        <v/>
      </c>
      <c r="F43" s="17" t="inlineStr"/>
    </row>
    <row r="44">
      <c r="A44" s="22" t="inlineStr">
        <is>
          <t>Resultado operacional</t>
        </is>
      </c>
      <c r="B44" s="9" t="inlineStr">
        <is>
          <t>RES</t>
        </is>
      </c>
      <c r="C44" s="27">
        <f>$C$41-$C$42-$C$43</f>
        <v/>
      </c>
      <c r="D44" s="27">
        <f>$D$41-$D$42-$D$43</f>
        <v/>
      </c>
      <c r="E44" s="27">
        <f>$E$41-$E$42-$E$43</f>
        <v/>
      </c>
      <c r="F44" s="17" t="inlineStr"/>
    </row>
    <row r="45">
      <c r="A45" s="8" t="inlineStr">
        <is>
          <t>Impostos e contribuições estimados</t>
        </is>
      </c>
      <c r="B45" s="9" t="inlineStr">
        <is>
          <t>CARGA</t>
        </is>
      </c>
      <c r="C45" s="28">
        <f>MAX(0,$C$44)*V2_ENI_ContOrg!$D$30</f>
        <v/>
      </c>
      <c r="D45" s="28">
        <f>MAX(0,$D$44)*V2_ENI_ContOrg!$D$30</f>
        <v/>
      </c>
      <c r="E45" s="28">
        <f>MAX(0,$E$44)*V2_ENI_ContOrg!$D$30</f>
        <v/>
      </c>
      <c r="F45" s="17" t="inlineStr">
        <is>
          <t>Aplica a taxa de esforço da via 2 no cenário Base. Aproximação: a taxa real varia com o nível de rendimento. Ver R1-33.</t>
        </is>
      </c>
    </row>
    <row r="46">
      <c r="A46" s="22" t="inlineStr">
        <is>
          <t>Resultado líquido</t>
        </is>
      </c>
      <c r="B46" s="9" t="inlineStr">
        <is>
          <t>LIQ</t>
        </is>
      </c>
      <c r="C46" s="27">
        <f>$C$44-$C$45</f>
        <v/>
      </c>
      <c r="D46" s="27">
        <f>$D$44-$D$45</f>
        <v/>
      </c>
      <c r="E46" s="27">
        <f>$E$44-$E$45</f>
        <v/>
      </c>
      <c r="F46" s="17" t="inlineStr"/>
    </row>
    <row r="47">
      <c r="A47" s="22" t="inlineStr">
        <is>
          <t>Caixa acumulada desde o arranque</t>
        </is>
      </c>
      <c r="B47" s="9" t="inlineStr">
        <is>
          <t>CX</t>
        </is>
      </c>
      <c r="C47" s="27">
        <f>$C$46-$C$9</f>
        <v/>
      </c>
      <c r="D47" s="27">
        <f>$C$47+$D$46</f>
        <v/>
      </c>
      <c r="E47" s="27">
        <f>$D$47+$E$46</f>
        <v/>
      </c>
      <c r="F47" s="17" t="inlineStr">
        <is>
          <t>Inclui o desembolso inicial. O ano em que esta linha passa a positiva é o payback real.</t>
        </is>
      </c>
    </row>
    <row r="48"/>
    <row r="49" ht="44" customHeight="1">
      <c r="A49" s="20" t="inlineStr">
        <is>
          <t>Esta visão a três anos assume custos fixos constantes e preço constante. Não é uma projeção financeira completa — é o suficiente para responder a «quando é que recupero o que meti» e a «o ano 1 é sustentável». Uma projeção completa exigiria inflação de custos, renovação de equipamento e evolução da tabela de preços, e nenhuma dessas coisas está informada. Registado em R1-42.</t>
        </is>
      </c>
    </row>
  </sheetData>
  <sheetProtection selectLockedCells="0" selectUnlockedCells="0" sheet="1" objects="0" insertRows="1" insertHyperlinks="1" autoFilter="1" scenarios="0" formatColumns="1" deleteColumns="1" insertColumns="1" pivotTables="1" deleteRows="1" formatCells="0" formatRows="1" sort="1"/>
  <mergeCells count="9">
    <mergeCell ref="E33:N33"/>
    <mergeCell ref="E36:N36"/>
    <mergeCell ref="A49:P49"/>
    <mergeCell ref="E31:N31"/>
    <mergeCell ref="E30:N30"/>
    <mergeCell ref="E29:N29"/>
    <mergeCell ref="E32:N32"/>
    <mergeCell ref="E28:N28"/>
    <mergeCell ref="A2:P2"/>
  </mergeCells>
  <dataValidations count="2">
    <dataValidation sqref="C21 D21 E21 F21 G21 H21 I21 J21 K21 L21 M21 N21" showDropDown="0" showInputMessage="0" showErrorMessage="1" allowBlank="0" errorTitle="Valor inválido" error="Introduza um número. Valores monetários não podem ser negativos." type="decimal" operator="greaterThanOrEqual">
      <formula1>0</formula1>
    </dataValidation>
    <dataValidation sqref="C13 C16 D13 D16 D40 E13 E16 E40 F13 F16 G13 G16 H13 H16 I13 I16 J13 J16 K13 K16 L13 L16 M13 M16 N13 N16" showDropDown="0" showInputMessage="0" showErrorMessage="1" allowBlank="0" errorTitle="Percentagem inválida" error="Introduza a percentagem como fração: 0,25 para 25%." type="decimal" operator="between">
      <formula1>0</formula1>
      <formula2>2</formula2>
    </dataValidation>
  </dataValidation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52" customWidth="1" min="1" max="1"/>
    <col width="14" customWidth="1" min="2" max="2"/>
    <col width="12" customWidth="1" min="3" max="3"/>
    <col width="56" customWidth="1" min="4" max="4"/>
    <col width="22" customWidth="1" min="5" max="5"/>
  </cols>
  <sheetData>
    <row r="1">
      <c r="A1" s="1" t="inlineStr">
        <is>
          <t>M1 — Alertas</t>
        </is>
      </c>
    </row>
    <row r="2" ht="46" customHeight="1">
      <c r="A2" s="20" t="inlineStr">
        <is>
          <t>Um modelo pode ter a fórmula certa, a fiscalidade certa e um pressuposto empresarial errado. Esta folha existe para apanhar o terceiro caso. Enquanto houver um alerta ATIVO com consequência bloqueante, nenhum número deste ficheiro pode ser citado no relatório, no deck ou perante a cliente.</t>
        </is>
      </c>
    </row>
    <row r="3"/>
    <row r="4">
      <c r="A4" s="2" t="inlineStr">
        <is>
          <t>Interruptores manuais — a equipa liga e desliga</t>
        </is>
      </c>
      <c r="B4" s="7" t="n"/>
      <c r="C4" s="7" t="n"/>
      <c r="D4" s="7" t="n"/>
      <c r="E4" s="7" t="n"/>
    </row>
    <row r="5">
      <c r="A5" s="8" t="inlineStr">
        <is>
          <t>Atividade do cônjuge confirmada fora da tabela do art. 151.º CIRS? (1 = sim / 0 = não)</t>
        </is>
      </c>
      <c r="B5" s="15" t="n">
        <v>0</v>
      </c>
      <c r="D5" s="17" t="inlineStr">
        <is>
          <t>R1-14 e N1-01. Enquanto for 0, a via 4 não é apresentável.</t>
        </is>
      </c>
    </row>
    <row r="6">
      <c r="A6" s="8" t="inlineStr">
        <is>
          <t>Qualificação da cedência de sala fixada pela Fiscalidade? (1 = sim / 0 = não)</t>
        </is>
      </c>
      <c r="B6" s="15" t="n">
        <v>0</v>
      </c>
      <c r="D6" s="17" t="inlineStr">
        <is>
          <t>N1-04. Enquanto for 0, o modelo 2 tem consequências fiscais assumidas, não determinadas.</t>
        </is>
      </c>
    </row>
    <row r="7">
      <c r="A7" s="8" t="inlineStr">
        <is>
          <t>Financiamento do investimento identificado? (1 = sim / 0 = não)</t>
        </is>
      </c>
      <c r="B7" s="15" t="n">
        <v>0</v>
      </c>
      <c r="D7" s="17" t="inlineStr">
        <is>
          <t>Obras, equipamento e IVA irrecuperável têm de sair de algum lado.</t>
        </is>
      </c>
    </row>
    <row r="8"/>
    <row r="9" ht="28" customHeight="1">
      <c r="A9" s="6" t="inlineStr">
        <is>
          <t>Alerta</t>
        </is>
      </c>
      <c r="B9" s="6" t="inlineStr">
        <is>
          <t>Valor avaliado</t>
        </is>
      </c>
      <c r="C9" s="6" t="inlineStr">
        <is>
          <t>Estado</t>
        </is>
      </c>
      <c r="D9" s="6" t="inlineStr">
        <is>
          <t>Consequência se ativo</t>
        </is>
      </c>
      <c r="E9" s="6" t="inlineStr">
        <is>
          <t>Referência</t>
        </is>
      </c>
    </row>
    <row r="10" ht="30" customHeight="1">
      <c r="A10" s="8" t="inlineStr">
        <is>
          <t>Parâmetros fiscais por validar para 2026</t>
        </is>
      </c>
      <c r="B10" s="53">
        <f>SUM(Parametros!$F$6:$F$50)</f>
        <v/>
      </c>
      <c r="C10" s="51">
        <f>IF(B10&gt;0,"ATIVO","—")</f>
        <v/>
      </c>
      <c r="D10" s="17" t="inlineStr">
        <is>
          <t>BLOQUEANTE. Os números podem estar certos na aritmética e errados na lei. Nenhum valor sai do ficheiro enquanto este alerta estiver ativo.</t>
        </is>
      </c>
      <c r="E10" s="17" t="inlineStr">
        <is>
          <t>R1, secção C · P0 da spec</t>
        </is>
      </c>
    </row>
    <row r="11" ht="30" customHeight="1">
      <c r="A11" s="8" t="inlineStr">
        <is>
          <t>Inputs da cliente por confirmar</t>
        </is>
      </c>
      <c r="B11" s="53">
        <f>SUM(Inputs!$J$6:$J$40)</f>
        <v/>
      </c>
      <c r="C11" s="51">
        <f>IF(B11&gt;0,"ATIVO","—")</f>
        <v/>
      </c>
      <c r="D11" s="17" t="inlineStr">
        <is>
          <t>BLOQUEANTE para o relatório. Os valores em uso são placeholders de teste do motor.</t>
        </is>
      </c>
      <c r="E11" s="17" t="inlineStr">
        <is>
          <t>R1, secção A · brief, secção 4</t>
        </is>
      </c>
    </row>
    <row r="12" ht="30" customHeight="1">
      <c r="A12" s="8" t="inlineStr">
        <is>
          <t>Utilização dos gabinetes acima de 100%</t>
        </is>
      </c>
      <c r="B12" s="36">
        <f>Operacao!$D$26</f>
        <v/>
      </c>
      <c r="C12" s="51">
        <f>IF(B12&gt;Parametros!$C$20,"ATIVO","—")</f>
        <v/>
      </c>
      <c r="D12" s="17" t="inlineStr">
        <is>
          <t>A projeção é impossível: não há gabinetes para as consultas previstas. Corrigir a projeção ou o número de gabinetes antes de qualquer outra coisa.</t>
        </is>
      </c>
      <c r="E12" s="17" t="inlineStr">
        <is>
          <t>Folha Operacao</t>
        </is>
      </c>
    </row>
    <row r="13" ht="30" customHeight="1">
      <c r="A13" s="8" t="inlineStr">
        <is>
          <t>Utilização dos gabinetes acima de 85%</t>
        </is>
      </c>
      <c r="B13" s="36">
        <f>Operacao!$D$26</f>
        <v/>
      </c>
      <c r="C13" s="51">
        <f>IF(AND(B13&gt;Parametros!$C$21,B13&lt;=Parametros!$C$20),"ATIVO","—")</f>
        <v/>
      </c>
      <c r="D13" s="17" t="inlineStr">
        <is>
          <t>Operacionalmente muito exigente: sem folga para faltas, férias ou variação de procura.</t>
        </is>
      </c>
      <c r="E13" s="17" t="inlineStr">
        <is>
          <t>Folha Operacao</t>
        </is>
      </c>
    </row>
    <row r="14" ht="30" customHeight="1">
      <c r="A14" s="8" t="inlineStr">
        <is>
          <t>Utilização subaproveitada, abaixo de 30%</t>
        </is>
      </c>
      <c r="B14" s="36">
        <f>Operacao!$D$26</f>
        <v/>
      </c>
      <c r="C14" s="51">
        <f>IF(B14&lt;Parametros!$C$22,"ATIVO","—")</f>
        <v/>
      </c>
      <c r="D14" s="17" t="inlineStr">
        <is>
          <t>O espaço está sobredimensionado para a procura projetada. Rever a opção de espaço.</t>
        </is>
      </c>
      <c r="E14" s="17" t="inlineStr">
        <is>
          <t>Folhas Operacao e Espaco</t>
        </is>
      </c>
    </row>
    <row r="15" ht="30" customHeight="1">
      <c r="A15" s="8" t="inlineStr">
        <is>
          <t>Receita projetada abaixo do break-even operacional</t>
        </is>
      </c>
      <c r="B15" s="36">
        <f>BreakEven!$D$13</f>
        <v/>
      </c>
      <c r="C15" s="51">
        <f>IF(B15&lt;0,"ATIVO","—")</f>
        <v/>
      </c>
      <c r="D15" s="17" t="inlineStr">
        <is>
          <t>A clínica não cobre os custos fixos com a faturação projetada. A discussão de estrutura fiscal é secundária face a isto.</t>
        </is>
      </c>
      <c r="E15" s="17" t="inlineStr">
        <is>
          <t>Folha BreakEven</t>
        </is>
      </c>
    </row>
    <row r="16" ht="30" customHeight="1">
      <c r="A16" s="8" t="inlineStr">
        <is>
          <t>Margem de contribuição nula ou negativa</t>
        </is>
      </c>
      <c r="B16" s="36">
        <f>BreakEven!$D$9</f>
        <v/>
      </c>
      <c r="C16" s="51">
        <f>IF(B16&lt;=0,"ATIVO","—")</f>
        <v/>
      </c>
      <c r="D16" s="17" t="inlineStr">
        <is>
          <t>Cada consulta adicional destrói valor. Rever a % de honorários ou o preço.</t>
        </is>
      </c>
      <c r="E16" s="17" t="inlineStr">
        <is>
          <t>Folha BreakEven</t>
        </is>
      </c>
    </row>
    <row r="17" ht="30" customHeight="1">
      <c r="A17" s="8" t="inlineStr">
        <is>
          <t>Utilização necessária para o break-even acima de 100%</t>
        </is>
      </c>
      <c r="B17" s="36">
        <f>BreakEven!$D$16</f>
        <v/>
      </c>
      <c r="C17" s="51">
        <f>IF(B17&gt;1,"ATIVO","—")</f>
        <v/>
      </c>
      <c r="D17" s="17" t="inlineStr">
        <is>
          <t>O espaço não consegue cobrir os próprios custos fixos nem a lotação máxima. O espaço está errado, não a estrutura.</t>
        </is>
      </c>
      <c r="E17" s="17" t="inlineStr">
        <is>
          <t>Folhas BreakEven e Espaco</t>
        </is>
      </c>
    </row>
    <row r="18" ht="30" customHeight="1">
      <c r="A18" s="8" t="inlineStr">
        <is>
          <t>Premissa da atividade do cônjuge por verificar</t>
        </is>
      </c>
      <c r="B18" s="53">
        <f>1-$B$5</f>
        <v/>
      </c>
      <c r="C18" s="51">
        <f>IF(B18=1,"ATIVO","—")</f>
        <v/>
      </c>
      <c r="D18" s="17" t="inlineStr">
        <is>
          <t>BLOQUEANTE para a via 4. Se a atividade do cônjuge constar da tabela do art. 151.º CIRS, a entrada dele não afasta a transparência com percentagem nenhuma.</t>
        </is>
      </c>
      <c r="E18" s="17" t="inlineStr">
        <is>
          <t>R1-14 · N1, secção 4.1</t>
        </is>
      </c>
    </row>
    <row r="19" ht="30" customHeight="1">
      <c r="A19" s="8" t="inlineStr">
        <is>
          <t>Qualificação da cedência de sala por fixar</t>
        </is>
      </c>
      <c r="B19" s="53">
        <f>1-$B$6</f>
        <v/>
      </c>
      <c r="C19" s="51">
        <f>IF(B19=1,"ATIVO","—")</f>
        <v/>
      </c>
      <c r="D19" s="17" t="inlineStr">
        <is>
          <t>O modelo 2 corre com consequências fiscais assumidas. A qualificação depende da configuração contratual e operacional concreta, não do nome do modelo.</t>
        </is>
      </c>
      <c r="E19" s="17" t="inlineStr">
        <is>
          <t>N1-04 · R1-31</t>
        </is>
      </c>
    </row>
    <row r="20" ht="30" customHeight="1">
      <c r="A20" s="8" t="inlineStr">
        <is>
          <t>Investimento sem financiamento identificado</t>
        </is>
      </c>
      <c r="B20" s="53">
        <f>1-$B$7</f>
        <v/>
      </c>
      <c r="C20" s="51">
        <f>IF(B20=1,"ATIVO","—")</f>
        <v/>
      </c>
      <c r="D20" s="17" t="inlineStr">
        <is>
          <t>O plano assume que o investimento é feito. Se não houver origem de fundos, o cenário não é executável.</t>
        </is>
      </c>
      <c r="E20" s="17" t="inlineStr">
        <is>
          <t>Folha Espaco · P1, fase 3</t>
        </is>
      </c>
    </row>
    <row r="21" ht="30" customHeight="1">
      <c r="A21" s="8" t="inlineStr">
        <is>
          <t>IVA dependente de pro rata ou afetação real</t>
        </is>
      </c>
      <c r="B21" s="35">
        <f>Inputs!$D$47</f>
        <v/>
      </c>
      <c r="C21" s="51">
        <f>IF(B21&gt;0,"ATIVO","—")</f>
        <v/>
      </c>
      <c r="D21" s="17" t="inlineStr">
        <is>
          <t>A dedução de IVA deixa de ser zero e passa a depender de um método e de segregação documental permanente. Confirmar o método antes de contar com o valor.</t>
        </is>
      </c>
      <c r="E21" s="17" t="inlineStr">
        <is>
          <t>Folha IVA · N1, secção 8</t>
        </is>
      </c>
    </row>
    <row r="22" ht="30" customHeight="1">
      <c r="A22" s="8" t="inlineStr">
        <is>
          <t>Recálculo independente com divergências</t>
        </is>
      </c>
      <c r="B22" s="53">
        <f>IF(AND(Validacao!$D$30="TODAS AS VERIFICAÇÕES OK",Validacao!$D$49="TODAS AS VERIFICAÇÕES OK"),0,1)</f>
        <v/>
      </c>
      <c r="C22" s="51">
        <f>IF(B22=1,"ATIVO","—")</f>
        <v/>
      </c>
      <c r="D22" s="17" t="inlineStr">
        <is>
          <t>BLOQUEANTE. As duas implementações do modelo discordam. Uma delas está errada.</t>
        </is>
      </c>
      <c r="E22" s="17" t="inlineStr">
        <is>
          <t>Folha Validacao</t>
        </is>
      </c>
    </row>
    <row r="23"/>
    <row r="24">
      <c r="A24" s="22" t="inlineStr">
        <is>
          <t>TOTAL DE ALERTAS ATIVOS</t>
        </is>
      </c>
      <c r="B24" s="23">
        <f>COUNTIF($C$10:$C$22,"ATIVO")</f>
        <v/>
      </c>
    </row>
    <row r="25">
      <c r="A25" s="22" t="inlineStr">
        <is>
          <t>O FICHEIRO PODE PRODUZIR NÚMEROS CITÁVEIS?</t>
        </is>
      </c>
      <c r="B25" s="59">
        <f>IF(COUNTIF($C$10:$C$22,"ATIVO")=0,"SIM","NÃO — resolver os alertas ativos")</f>
        <v/>
      </c>
      <c r="C25" s="39" t="n"/>
      <c r="D25" s="40" t="n"/>
    </row>
    <row r="26"/>
    <row r="27" ht="32" customHeight="1">
      <c r="A27" s="20" t="inlineStr">
        <is>
          <t>Esta folha não substitui a Validacao. A Validacao verifica que as duas implementações do modelo concordam; esta verifica que o resultado faz sentido como negócio. São perguntas diferentes e um modelo pode passar numa e falhar na outra.</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E2"/>
    <mergeCell ref="B25:D25"/>
    <mergeCell ref="A27:E27"/>
  </mergeCells>
  <dataValidations count="1">
    <dataValidation sqref="B5 B6 B7" showDropDown="0" showInputMessage="0" showErrorMessage="1" allowBlank="0" errorTitle="Valor não permitido" error="Só são admitidos 0 ou 1." type="list">
      <formula1>"0,1"</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0" customWidth="1" min="1" max="1"/>
    <col width="13" customWidth="1" min="2" max="2"/>
    <col width="15" customWidth="1" min="3" max="3"/>
    <col width="15" customWidth="1" min="4" max="4"/>
    <col width="15" customWidth="1" min="5" max="5"/>
    <col width="56" customWidth="1" min="6" max="6"/>
  </cols>
  <sheetData>
    <row r="1">
      <c r="A1" s="1" t="inlineStr">
        <is>
          <t>M1 — Entrada do cônjuge: custo de complexidade</t>
        </is>
      </c>
    </row>
    <row r="2" ht="46" customHeight="1">
      <c r="A2" s="20" t="inlineStr">
        <is>
          <t>A hipótese foi levantada na reunião e ficou em análise, nem descartada nem recomendada. Esta folha põe de um lado tudo o que a entrada do cônjuge dá e do outro tudo o que custa, para que a decisão não se tome pela metade que é mais fácil de calcular.</t>
        </is>
      </c>
    </row>
    <row r="3"/>
    <row r="4" ht="28" customHeight="1">
      <c r="A4" s="6" t="inlineStr">
        <is>
          <t>Rubrica</t>
        </is>
      </c>
      <c r="B4" s="6" t="inlineStr">
        <is>
          <t>Ref.</t>
        </is>
      </c>
      <c r="C4" s="6" t="inlineStr">
        <is>
          <t>Baixo</t>
        </is>
      </c>
      <c r="D4" s="6" t="inlineStr">
        <is>
          <t>Base</t>
        </is>
      </c>
      <c r="E4" s="6" t="inlineStr">
        <is>
          <t>Alto</t>
        </is>
      </c>
      <c r="F4" s="6" t="inlineStr">
        <is>
          <t>Nota</t>
        </is>
      </c>
    </row>
    <row r="5">
      <c r="A5" s="2" t="inlineStr">
        <is>
          <t>A premissa de que tudo depende</t>
        </is>
      </c>
      <c r="B5" s="7" t="n"/>
      <c r="C5" s="7" t="n"/>
      <c r="D5" s="7" t="n"/>
      <c r="E5" s="7" t="n"/>
      <c r="F5" s="7" t="n"/>
    </row>
    <row r="6" ht="46" customHeight="1">
      <c r="A6" s="20" t="inlineStr">
        <is>
          <t>Toda esta folha assume que a atividade do cônjuge NÃO consta da tabela do art. 151.º CIRS. Se constar — por enquadramento como desportista ou pelo código residual — a entrada dele não afasta a transparência fiscal com percentagem de capital nenhuma, e tudo o que está abaixo passa a ser custo sem contrapartida. A premissa nunca foi verificada.</t>
        </is>
      </c>
    </row>
    <row r="7">
      <c r="A7" s="8" t="inlineStr">
        <is>
          <t>Premissa verificada? (1 = sim / 0 = não)</t>
        </is>
      </c>
      <c r="B7" s="9" t="inlineStr">
        <is>
          <t>PREMISSA</t>
        </is>
      </c>
      <c r="C7" s="53">
        <f>Alertas!$B$5</f>
        <v/>
      </c>
      <c r="D7" s="53">
        <f>Alertas!$B$5</f>
        <v/>
      </c>
      <c r="E7" s="53">
        <f>Alertas!$B$5</f>
        <v/>
      </c>
      <c r="F7" s="17" t="inlineStr">
        <is>
          <t>Interruptor na folha Alertas. Ver R1-14 e N1-01.</t>
        </is>
      </c>
    </row>
    <row r="8">
      <c r="A8" s="2" t="inlineStr">
        <is>
          <t>O que a entrada do cônjuge dá</t>
        </is>
      </c>
      <c r="B8" s="7" t="n"/>
      <c r="C8" s="7" t="n"/>
      <c r="D8" s="7" t="n"/>
      <c r="E8" s="7" t="n"/>
      <c r="F8" s="7" t="n"/>
    </row>
    <row r="9">
      <c r="A9" s="8" t="inlineStr">
        <is>
          <t>IVA recuperável atribuível à entrada do cônjuge</t>
        </is>
      </c>
      <c r="B9" s="9" t="inlineStr">
        <is>
          <t>G_IVA</t>
        </is>
      </c>
      <c r="C9" s="35">
        <f>IVA!$C$21</f>
        <v/>
      </c>
      <c r="D9" s="35">
        <f>IVA!$D$21</f>
        <v/>
      </c>
      <c r="E9" s="35">
        <f>IVA!$E$21</f>
        <v/>
      </c>
      <c r="F9" s="17" t="inlineStr">
        <is>
          <t>Zero enquanto o cônjuge não faturar DENTRO da sociedade. Deter capital não dá IVA nenhum: são duas decisões diferentes.</t>
        </is>
      </c>
    </row>
    <row r="10">
      <c r="A10" s="8" t="inlineStr">
        <is>
          <t>Diferencial de líquido para a sócia, via 4 face à via 3</t>
        </is>
      </c>
      <c r="B10" s="9" t="inlineStr">
        <is>
          <t>G_ESTR</t>
        </is>
      </c>
      <c r="C10" s="35">
        <f>V4_Soc_NaoTransparente!$C$47-V3_Soc_Transparente!$C$39</f>
        <v/>
      </c>
      <c r="D10" s="35">
        <f>V4_Soc_NaoTransparente!$D$47-V3_Soc_Transparente!$D$39</f>
        <v/>
      </c>
      <c r="E10" s="35">
        <f>V4_Soc_NaoTransparente!$E$47-V3_Soc_Transparente!$E$39</f>
        <v/>
      </c>
      <c r="F10" s="17" t="inlineStr">
        <is>
          <t>Negativo significa que afastar a transparência custa dinheiro à sócia nas condições atuais de distribuição. Depende inteiramente da alavanca POL_DIST.</t>
        </is>
      </c>
    </row>
    <row r="11">
      <c r="A11" s="22" t="inlineStr">
        <is>
          <t>Total dos ganhos anuais</t>
        </is>
      </c>
      <c r="B11" s="9" t="inlineStr">
        <is>
          <t>G_TOT</t>
        </is>
      </c>
      <c r="C11" s="27">
        <f>$C$9+$C$10</f>
        <v/>
      </c>
      <c r="D11" s="27">
        <f>$D$9+$D$10</f>
        <v/>
      </c>
      <c r="E11" s="27">
        <f>$E$9+$E$10</f>
        <v/>
      </c>
      <c r="F11" s="17" t="inlineStr">
        <is>
          <t>O ganho de IVA é de uma só vez, no ano do investimento; o diferencial de estrutura é recorrente. Somá-los na mesma linha é uma simplificação — ler as duas linhas acima.</t>
        </is>
      </c>
    </row>
    <row r="12">
      <c r="A12" s="2" t="inlineStr">
        <is>
          <t>O que a entrada do cônjuge custa</t>
        </is>
      </c>
      <c r="B12" s="7" t="n"/>
      <c r="C12" s="7" t="n"/>
      <c r="D12" s="7" t="n"/>
      <c r="E12" s="7" t="n"/>
      <c r="F12" s="7" t="n"/>
    </row>
    <row r="13">
      <c r="A13" s="8" t="inlineStr">
        <is>
          <t>Quota de lucros atribuída ao cônjuge, por ano</t>
        </is>
      </c>
      <c r="B13" s="9" t="inlineStr">
        <is>
          <t>C_QUOTA</t>
        </is>
      </c>
      <c r="C13" s="35">
        <f>V4_Soc_NaoTransparente!$C$46</f>
        <v/>
      </c>
      <c r="D13" s="35">
        <f>V4_Soc_NaoTransparente!$D$46</f>
        <v/>
      </c>
      <c r="E13" s="35">
        <f>V4_Soc_NaoTransparente!$E$46</f>
        <v/>
      </c>
      <c r="F13" s="17" t="inlineStr">
        <is>
          <t>Dentro do agregado é uma transferência, não uma perda. Fora dele — divórcio, sucessão — é definitiva. O relatório tem de dizer as duas coisas.</t>
        </is>
      </c>
    </row>
    <row r="14">
      <c r="A14" s="8" t="inlineStr">
        <is>
          <t>Custo administrativo anual de sujeito passivo misto</t>
        </is>
      </c>
      <c r="B14" s="9" t="inlineStr">
        <is>
          <t>C_ADM</t>
        </is>
      </c>
      <c r="C14" s="16" t="n">
        <v>0</v>
      </c>
      <c r="D14" s="16" t="n">
        <v>0</v>
      </c>
      <c r="E14" s="16" t="n">
        <v>0</v>
      </c>
      <c r="F14" s="17" t="inlineStr">
        <is>
          <t>A PREENCHER com a estimativa do contabilista: segregação documental, pro rata ou afetação real, regularizações anuais, obrigações declarativas adicionais. Não é zero.</t>
        </is>
      </c>
    </row>
    <row r="15">
      <c r="A15" s="8" t="inlineStr">
        <is>
          <t>Custo de constituição e de alterações societárias</t>
        </is>
      </c>
      <c r="B15" s="9" t="inlineStr">
        <is>
          <t>C_CONST</t>
        </is>
      </c>
      <c r="C15" s="16" t="n">
        <v>0</v>
      </c>
      <c r="D15" s="16" t="n">
        <v>0</v>
      </c>
      <c r="E15" s="16" t="n">
        <v>0</v>
      </c>
      <c r="F15" s="17" t="inlineStr">
        <is>
          <t>A PREENCHER. Custo único.</t>
        </is>
      </c>
    </row>
    <row r="16">
      <c r="A16" s="22" t="inlineStr">
        <is>
          <t>Total dos custos anuais</t>
        </is>
      </c>
      <c r="B16" s="9" t="inlineStr">
        <is>
          <t>C_TOT</t>
        </is>
      </c>
      <c r="C16" s="27">
        <f>$C$13+$C$14+$C$15</f>
        <v/>
      </c>
      <c r="D16" s="27">
        <f>$D$13+$D$14+$D$15</f>
        <v/>
      </c>
      <c r="E16" s="27">
        <f>$E$13+$E$14+$E$15</f>
        <v/>
      </c>
      <c r="F16" s="17" t="inlineStr"/>
    </row>
    <row r="17">
      <c r="A17" s="2" t="inlineStr">
        <is>
          <t>Saldo</t>
        </is>
      </c>
      <c r="B17" s="7" t="n"/>
      <c r="C17" s="7" t="n"/>
      <c r="D17" s="7" t="n"/>
      <c r="E17" s="7" t="n"/>
      <c r="F17" s="7" t="n"/>
    </row>
    <row r="18">
      <c r="A18" s="22" t="inlineStr">
        <is>
          <t>SALDO ANUAL DA OPERAÇÃO, NA ESFERA DA SÓCIA</t>
        </is>
      </c>
      <c r="B18" s="9" t="inlineStr">
        <is>
          <t>SALDO</t>
        </is>
      </c>
      <c r="C18" s="27">
        <f>$C$11-$C$16</f>
        <v/>
      </c>
      <c r="D18" s="27">
        <f>$D$11-$D$16</f>
        <v/>
      </c>
      <c r="E18" s="27">
        <f>$E$11-$E$16</f>
        <v/>
      </c>
      <c r="F18" s="17" t="inlineStr"/>
    </row>
    <row r="19">
      <c r="A19" s="22" t="inlineStr">
        <is>
          <t>SALDO ANUAL NA ESFERA DO AGREGADO</t>
        </is>
      </c>
      <c r="B19" s="9" t="inlineStr">
        <is>
          <t>SALDO_AGR</t>
        </is>
      </c>
      <c r="C19" s="27">
        <f>$C$11-$C$14-$C$15</f>
        <v/>
      </c>
      <c r="D19" s="27">
        <f>$D$11-$D$14-$D$15</f>
        <v/>
      </c>
      <c r="E19" s="27">
        <f>$E$11-$E$14-$E$15</f>
        <v/>
      </c>
      <c r="F19" s="17" t="inlineStr">
        <is>
          <t>Exclui a quota de lucros do cônjuge, que dentro do agregado não sai. É a leitura mais favorável possível à operação.</t>
        </is>
      </c>
    </row>
    <row r="20">
      <c r="A20" s="22" t="inlineStr">
        <is>
          <t>Leitura</t>
        </is>
      </c>
      <c r="B20" s="9" t="inlineStr">
        <is>
          <t>VEREDITO</t>
        </is>
      </c>
      <c r="C20" s="26">
        <f>IF($C$7=0,"NÃO DECIDÍVEL — premissa por verificar",IF($C$18&gt;0,"Favorável na esfera da sócia",IF($C$19&gt;0,"Favorável apenas na ótica do agregado, não na da sócia","Desfavorável nas condições atuais")))</f>
        <v/>
      </c>
      <c r="D20" s="26">
        <f>IF($D$7=0,"NÃO DECIDÍVEL — premissa por verificar",IF($D$18&gt;0,"Favorável na esfera da sócia",IF($D$19&gt;0,"Favorável apenas na ótica do agregado, não na da sócia","Desfavorável nas condições atuais")))</f>
        <v/>
      </c>
      <c r="E20" s="26">
        <f>IF($E$7=0,"NÃO DECIDÍVEL — premissa por verificar",IF($E$18&gt;0,"Favorável na esfera da sócia",IF($E$19&gt;0,"Favorável apenas na ótica do agregado, não na da sócia","Desfavorável nas condições atuais")))</f>
        <v/>
      </c>
      <c r="F20" s="17" t="inlineStr"/>
    </row>
    <row r="21"/>
    <row r="22" ht="76" customHeight="1">
      <c r="A22" s="20" t="inlineStr">
        <is>
          <t>O que esta folha não quantifica, e tem de ser dito por palavras no capítulo 7: a perda de controlo qualificado, já que uma participação superior a 25% dá capacidade de bloqueio das deliberações que exijam maioria de três quartos; o efeito em caso de divórcio ou sucessão; e o risco de o desenho ser lido como artificial ao abrigo do art. 38.º n.º 2 da LGT se a participação não tiver substância económica real. Nenhuma destas três coisas tem preço, e todas podem ser mais caras do que o saldo acima.</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F2"/>
    <mergeCell ref="A6:F6"/>
    <mergeCell ref="A22:F22"/>
  </mergeCells>
  <dataValidations count="1">
    <dataValidation sqref="C14 C15 D14 D15 E14 E15" showDropDown="0" showInputMessage="0" showErrorMessage="1" allowBlank="0" errorTitle="Valor inválido" error="Introduza um número. Valores monetários não podem ser negativos."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2026-08-22T22:22:38Z</dcterms:created>
  <dcterms:modified xsi:type="dcterms:W3CDTF">2026-08-22T22:22:38Z</dcterms:modified>
</cp:coreProperties>
</file>